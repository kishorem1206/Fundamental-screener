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drawings/charts/chart21.xml" ContentType="application/vnd.openxmlformats-officedocument.drawingml.chart+xml"/>
  <Override PartName="/xl/drawings/charts/chart22.xml" ContentType="application/vnd.openxmlformats-officedocument.drawingml.chart+xml"/>
  <Override PartName="/xl/drawings/charts/chart23.xml" ContentType="application/vnd.openxmlformats-officedocument.drawingml.chart+xml"/>
  <Override PartName="/xl/drawings/charts/chart24.xml" ContentType="application/vnd.openxmlformats-officedocument.drawingml.chart+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608cc43a8c4683" /></Relationships>
</file>

<file path=xl/workbook.xml><?xml version="1.0" encoding="utf-8"?>
<x:workbook xmlns:x="http://schemas.openxmlformats.org/spreadsheetml/2006/main">
  <x:sheets>
    <x:sheet xmlns:r="http://schemas.openxmlformats.org/officeDocument/2006/relationships" name="Read Me" sheetId="1" r:id="R8ed72d71d74248b6"/>
    <x:sheet xmlns:r="http://schemas.openxmlformats.org/officeDocument/2006/relationships" name="Source Register" sheetId="2" r:id="Ree6bb8ec08e14004"/>
    <x:sheet xmlns:r="http://schemas.openxmlformats.org/officeDocument/2006/relationships" name="Historic_IS" sheetId="3" r:id="Rd4cb5e5d16644870"/>
    <x:sheet xmlns:r="http://schemas.openxmlformats.org/officeDocument/2006/relationships" name="Historic_Segments" sheetId="4" r:id="R3974dcdb26264f2f"/>
    <x:sheet xmlns:r="http://schemas.openxmlformats.org/officeDocument/2006/relationships" name="Historic_BS" sheetId="5" r:id="Rd106b97dfd5b4545"/>
    <x:sheet xmlns:r="http://schemas.openxmlformats.org/officeDocument/2006/relationships" name="Historic_CF" sheetId="6" r:id="Rcfa143c949f64f48"/>
    <x:sheet xmlns:r="http://schemas.openxmlformats.org/officeDocument/2006/relationships" name="Scenarios" sheetId="7" r:id="Rbbb735e2337c4761"/>
    <x:sheet xmlns:r="http://schemas.openxmlformats.org/officeDocument/2006/relationships" name="Assumptions" sheetId="8" r:id="R72c20f66233c4f90"/>
    <x:sheet xmlns:r="http://schemas.openxmlformats.org/officeDocument/2006/relationships" name="Segments" sheetId="9" r:id="Rfbabc505df6445b2"/>
    <x:sheet xmlns:r="http://schemas.openxmlformats.org/officeDocument/2006/relationships" name="Income_Statement" sheetId="10" r:id="R9f4cafb07edb4e60"/>
    <x:sheet xmlns:r="http://schemas.openxmlformats.org/officeDocument/2006/relationships" name="Working_Capital" sheetId="11" r:id="Re47157f7b9d5454b"/>
    <x:sheet xmlns:r="http://schemas.openxmlformats.org/officeDocument/2006/relationships" name="Balance_Sheet" sheetId="12" r:id="Rc3593c99ffbf4aba"/>
    <x:sheet xmlns:r="http://schemas.openxmlformats.org/officeDocument/2006/relationships" name="Cash_Flow" sheetId="13" r:id="R0effa06d053f4389"/>
    <x:sheet xmlns:r="http://schemas.openxmlformats.org/officeDocument/2006/relationships" name="Model_Checks" sheetId="14" r:id="R79ce423775824e28"/>
    <x:sheet xmlns:r="http://schemas.openxmlformats.org/officeDocument/2006/relationships" name="Consolidated_Overlay" sheetId="15" r:id="Rfeafa40a575a40a5"/>
    <x:sheet xmlns:r="http://schemas.openxmlformats.org/officeDocument/2006/relationships" name="Valuation_Inputs" sheetId="16" r:id="R87f7a8ec1b3f436c"/>
    <x:sheet xmlns:r="http://schemas.openxmlformats.org/officeDocument/2006/relationships" name="Cost_Of_Capital" sheetId="17" r:id="R4e26ce0d84b44c0d"/>
    <x:sheet xmlns:r="http://schemas.openxmlformats.org/officeDocument/2006/relationships" name="Peer_Snapshot" sheetId="18" r:id="R4869e37fe9bc4596"/>
    <x:sheet xmlns:r="http://schemas.openxmlformats.org/officeDocument/2006/relationships" name="DCF" sheetId="19" r:id="R0917045765ed4ecf"/>
    <x:sheet xmlns:r="http://schemas.openxmlformats.org/officeDocument/2006/relationships" name="SOTP" sheetId="20" r:id="R71c9c05c4121489f"/>
    <x:sheet xmlns:r="http://schemas.openxmlformats.org/officeDocument/2006/relationships" name="Relative_Valuation" sheetId="21" r:id="Rd69e687ba9464209"/>
    <x:sheet xmlns:r="http://schemas.openxmlformats.org/officeDocument/2006/relationships" name="Sensitivities" sheetId="22" r:id="R2b75d982c7d845b4"/>
    <x:sheet xmlns:r="http://schemas.openxmlformats.org/officeDocument/2006/relationships" name="Valuation_Summary" sheetId="23" r:id="Rd85811be0c9b4012"/>
    <x:sheet xmlns:r="http://schemas.openxmlformats.org/officeDocument/2006/relationships" name="Charts" sheetId="24" r:id="R44bcaebe1c614617"/>
    <x:sheet xmlns:r="http://schemas.openxmlformats.org/officeDocument/2006/relationships" name="Chart_Data" sheetId="25" r:id="R450861beaee44b31"/>
  </x:sheets>
</x:workbook>
</file>

<file path=xl/sharedStrings.xml><?xml version="1.0" encoding="utf-8"?>
<x:sst xmlns:x="http://schemas.openxmlformats.org/spreadsheetml/2006/main"/>
</file>

<file path=xl/styles.xml><?xml version="1.0" encoding="utf-8"?>
<x:styleSheet xmlns:x="http://schemas.openxmlformats.org/spreadsheetml/2006/main">
  <x:numFmts count="16">
    <x:numFmt numFmtId="200" formatCode="#,##0.00;[Red](#,##0.00);–"/>
    <x:numFmt numFmtId="201" formatCode="0.000;[Red](0.000);–"/>
    <x:numFmt numFmtId="202" formatCode="₹0.00;[Red](₹0.00);–"/>
    <x:numFmt numFmtId="203" formatCode="0.0%;[Red](0.0%);–"/>
    <x:numFmt numFmtId="204" formatCode="#,##0.00;[Red](#,##0.00);&quot;-&quot;"/>
    <x:numFmt numFmtId="205" formatCode="0.0%;[Red](0.0%);&quot;-&quot;"/>
    <x:numFmt numFmtId="206" formatCode="₹0.00;[Red](₹0.00);&quot;-&quot;"/>
    <x:numFmt numFmtId="207" formatCode="0.000;[Red](0.000);&quot;-&quot;"/>
    <x:numFmt numFmtId="208" formatCode="#,##0.00;[Red](#,##0.00);&quot;–&quot;"/>
    <x:numFmt numFmtId="209" formatCode="₹#,##0.00;[Red](₹#,##0.00);&quot;–&quot;"/>
    <x:numFmt numFmtId="210" formatCode="0.0%;[Red](0.0%);&quot;–&quot;"/>
    <x:numFmt numFmtId="211" formatCode="0.0&quot;x&quot;;[Red](0.0&quot;x&quot;);&quot;–&quot;"/>
    <x:numFmt numFmtId="212" formatCode="#,##0;[Red](#,##0);&quot;–&quot;"/>
    <x:numFmt numFmtId="213" formatCode="0.00"/>
    <x:numFmt numFmtId="214" formatCode="#,##0;[Red](#,##0);–"/>
    <x:numFmt numFmtId="215" formatCode="0.0&quot;x&quot;;[Red](0.0&quot;x&quot;);–"/>
  </x:numFmts>
  <x:fonts count="20">
    <x:font>
      <x:sz val="11"/>
      <x:name val="Carlito"/>
    </x:font>
    <x:font>
      <x:b/>
      <x:sz val="17"/>
      <x:color rgb="FFFFFFFF"/>
      <x:name val="Carlito"/>
    </x:font>
    <x:font>
      <x:sz val="10"/>
      <x:color rgb="FF506273"/>
      <x:name val="Carlito"/>
    </x:font>
    <x:font>
      <x:b/>
      <x:sz val="11"/>
      <x:color rgb="FFFFFFFF"/>
      <x:name val="Carlito"/>
    </x:font>
    <x:font>
      <x:b/>
      <x:sz val="14"/>
      <x:color rgb="FF0000FF"/>
      <x:name val="Carlito"/>
    </x:font>
    <x:font>
      <x:sz val="11"/>
      <x:color rgb="FF008000"/>
      <x:name val="Carlito"/>
    </x:font>
    <x:font>
      <x:sz val="11"/>
      <x:color rgb="FF0000FF"/>
      <x:name val="Carlito"/>
    </x:font>
    <x:font>
      <x:sz val="11"/>
      <x:color rgb="FF000000"/>
      <x:name val="Carlito"/>
    </x:font>
    <x:font>
      <x:b/>
      <x:sz val="11"/>
      <x:name val="Carlito"/>
    </x:font>
    <x:font>
      <x:b/>
      <x:sz val="11"/>
      <x:color rgb="FF0000FF"/>
      <x:name val="Carlito"/>
    </x:font>
    <x:font>
      <x:b/>
      <x:sz val="11"/>
      <x:color rgb="FF000000"/>
      <x:name val="Carlito"/>
    </x:font>
    <x:font>
      <x:i/>
      <x:sz val="9"/>
      <x:color rgb="FF506273"/>
      <x:name val="Carlito"/>
    </x:font>
    <x:font>
      <x:b/>
      <x:sz val="11"/>
      <x:color rgb="FF008000"/>
      <x:name val="Carlito"/>
    </x:font>
    <x:font>
      <x:sz val="9"/>
      <x:color rgb="FF506273"/>
      <x:name val="Carlito"/>
    </x:font>
    <x:font>
      <x:b/>
      <x:sz val="11"/>
      <x:color rgb="FF12263D"/>
      <x:name val="Carlito"/>
    </x:font>
    <x:font>
      <x:b/>
      <x:sz val="11"/>
      <x:color rgb="FF0B746D"/>
      <x:name val="Carlito"/>
    </x:font>
    <x:font>
      <x:b/>
      <x:sz val="12"/>
      <x:color rgb="FFFFFFFF"/>
      <x:name val="Carlito"/>
    </x:font>
    <x:font>
      <x:b/>
      <x:sz val="16"/>
      <x:color rgb="FFFFFFFF"/>
      <x:name val="Carlito"/>
    </x:font>
    <x:font>
      <x:sz val="11"/>
      <x:color rgb="FF506273"/>
      <x:name val="Carlito"/>
    </x:font>
    <x:font>
      <x:b/>
      <x:sz val="10"/>
      <x:color rgb="FF0B746D"/>
      <x:name val="Carlito"/>
    </x:font>
  </x:fonts>
  <x:fills count="19">
    <x:fill>
      <x:patternFill patternType="none"/>
    </x:fill>
    <x:fill>
      <x:patternFill patternType="gray125"/>
    </x:fill>
    <x:fill>
      <x:patternFill patternType="solid">
        <x:fgColor rgb="FF12263D"/>
      </x:patternFill>
    </x:fill>
    <x:fill>
      <x:patternFill patternType="solid">
        <x:fgColor rgb="FFEBF2F8"/>
      </x:patternFill>
    </x:fill>
    <x:fill>
      <x:patternFill patternType="solid">
        <x:fgColor rgb="FF0E324B"/>
      </x:patternFill>
    </x:fill>
    <x:fill>
      <x:patternFill patternType="solid">
        <x:fgColor rgb="FFF7FAFC"/>
      </x:patternFill>
    </x:fill>
    <x:fill>
      <x:patternFill patternType="solid">
        <x:fgColor rgb="FFFFF1A9"/>
      </x:patternFill>
    </x:fill>
    <x:fill>
      <x:patternFill patternType="solid">
        <x:fgColor rgb="FFDBEFED"/>
      </x:patternFill>
    </x:fill>
    <x:fill>
      <x:patternFill patternType="solid">
        <x:fgColor rgb="FF12263D"/>
      </x:patternFill>
    </x:fill>
    <x:fill>
      <x:patternFill patternType="solid">
        <x:fgColor rgb="FFEBF2F8"/>
      </x:patternFill>
    </x:fill>
    <x:fill>
      <x:patternFill patternType="solid">
        <x:fgColor rgb="FF0E324B"/>
      </x:patternFill>
    </x:fill>
    <x:fill>
      <x:patternFill patternType="solid">
        <x:fgColor rgb="FFFFF1A9"/>
      </x:patternFill>
    </x:fill>
    <x:fill>
      <x:patternFill patternType="solid">
        <x:fgColor rgb="FFF7FAFC"/>
      </x:patternFill>
    </x:fill>
    <x:fill>
      <x:patternFill patternType="solid">
        <x:fgColor rgb="FFDBEFED"/>
      </x:patternFill>
    </x:fill>
    <x:fill>
      <x:patternFill patternType="solid">
        <x:fgColor rgb="FFD2E9D1"/>
      </x:patternFill>
    </x:fill>
    <x:fill>
      <x:patternFill patternType="solid">
        <x:fgColor rgb="FF12263D"/>
      </x:patternFill>
    </x:fill>
    <x:fill>
      <x:patternFill patternType="solid">
        <x:fgColor rgb="FFEDF4F8"/>
      </x:patternFill>
    </x:fill>
    <x:fill>
      <x:patternFill patternType="solid">
        <x:fgColor rgb="FF0E324B"/>
      </x:patternFill>
    </x:fill>
    <x:fill>
      <x:patternFill patternType="solid">
        <x:fgColor rgb="FFDFF1ED"/>
      </x:patternFill>
    </x:fill>
  </x:fills>
  <x:borders count="2">
    <x:border/>
    <x:border/>
  </x:borders>
  <x:cellStyleXfs count="1">
    <x:xf numFmtId="0" fontId="0" fillId="0" borderId="0"/>
  </x:cellStyleXfs>
  <x:cellXfs count="5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righ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right"/>
    </x:xf>
    <x:xf numFmtId="0" fontId="3" fillId="4" borderId="0" xfId="0" applyNumberFormat="1" applyFont="1" applyFill="1" applyBorder="1" applyAlignment="1">
      <x:alignment horizontal="left"/>
    </x:xf>
    <x:xf numFmtId="0" fontId="3" fillId="4" borderId="1" xfId="0" applyNumberFormat="1" applyFont="1" applyFill="1" applyBorder="1" applyAlignment="1">
      <x:alignment horizontal="left"/>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200" fontId="0" fillId="0" borderId="1" xfId="0" applyNumberFormat="1" applyFont="1" applyFill="1" applyBorder="1" applyAlignment="1">
      <x:alignment vertical="center"/>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4" borderId="0" xfId="0" applyNumberFormat="1" applyFont="1" applyFill="1" applyBorder="1" applyAlignment="1">
      <x:alignment vertical="center"/>
    </x:xf>
    <x:xf numFmtId="200" fontId="0"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200" fontId="3" fillId="4" borderId="0" xfId="0" applyNumberFormat="1" applyFont="1" applyFill="1" applyBorder="1" applyAlignment="1">
      <x:alignment vertical="center"/>
    </x:xf>
    <x:xf numFmtId="0" fontId="3" fillId="4" borderId="0" xfId="0" applyNumberFormat="1" applyFont="1" applyFill="1" applyBorder="1" applyAlignment="1">
      <x:alignment horizontal="left" vertical="center"/>
    </x:xf>
    <x:xf numFmtId="200" fontId="3" fillId="4" borderId="0" xfId="0" applyNumberFormat="1" applyFont="1" applyFill="1" applyBorder="1" applyAlignment="1">
      <x:alignment horizontal="left" vertical="center"/>
    </x:xf>
    <x:xf numFmtId="0" fontId="0" fillId="4" borderId="1" xfId="0" applyNumberFormat="1" applyFont="1" applyFill="1" applyBorder="1" applyAlignment="1">
      <x:alignment vertical="center"/>
    </x:xf>
    <x:xf numFmtId="200" fontId="0" fillId="4" borderId="1" xfId="0" applyNumberFormat="1" applyFont="1" applyFill="1" applyBorder="1" applyAlignment="1">
      <x:alignment vertical="center"/>
    </x:xf>
    <x:xf numFmtId="0" fontId="3" fillId="4" borderId="1" xfId="0" applyNumberFormat="1" applyFont="1" applyFill="1" applyBorder="1" applyAlignment="1">
      <x:alignment vertical="center"/>
    </x:xf>
    <x:xf numFmtId="200" fontId="3" fillId="4" borderId="1" xfId="0" applyNumberFormat="1" applyFont="1" applyFill="1" applyBorder="1" applyAlignment="1">
      <x:alignment vertical="center"/>
    </x:xf>
    <x:xf numFmtId="0" fontId="3" fillId="4" borderId="1" xfId="0" applyNumberFormat="1" applyFont="1" applyFill="1" applyBorder="1" applyAlignment="1">
      <x:alignment horizontal="left" vertical="center"/>
    </x:xf>
    <x:xf numFmtId="200" fontId="3" fillId="4" borderId="1" xfId="0" applyNumberFormat="1" applyFont="1" applyFill="1" applyBorder="1" applyAlignment="1">
      <x:alignment horizontal="left" vertical="center"/>
    </x:xf>
    <x:xf numFmtId="0" fontId="0" fillId="3" borderId="0" xfId="0" applyNumberFormat="1" applyFont="1" applyFill="1" applyBorder="1" applyAlignment="1">
      <x:alignment vertical="center"/>
    </x:xf>
    <x:xf numFmtId="200" fontId="0"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20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200" fontId="2" fillId="3" borderId="0" xfId="0" applyNumberFormat="1" applyFont="1" applyFill="1" applyBorder="1" applyAlignment="1">
      <x:alignment vertical="center" wrapText="1"/>
    </x:xf>
    <x:xf numFmtId="0" fontId="0" fillId="3" borderId="1" xfId="0" applyNumberFormat="1" applyFont="1" applyFill="1" applyBorder="1" applyAlignment="1">
      <x:alignment vertical="center"/>
    </x:xf>
    <x:xf numFmtId="200" fontId="0" fillId="3" borderId="1" xfId="0" applyNumberFormat="1" applyFont="1" applyFill="1" applyBorder="1" applyAlignment="1">
      <x:alignment vertical="center"/>
    </x:xf>
    <x:xf numFmtId="0" fontId="2" fillId="3" borderId="1" xfId="0" applyNumberFormat="1" applyFont="1" applyFill="1" applyBorder="1" applyAlignment="1">
      <x:alignment vertical="center"/>
    </x:xf>
    <x:xf numFmtId="200" fontId="2" fillId="3" borderId="1" xfId="0" applyNumberFormat="1" applyFont="1" applyFill="1" applyBorder="1" applyAlignment="1">
      <x:alignment vertical="center"/>
    </x:xf>
    <x:xf numFmtId="0" fontId="2" fillId="3" borderId="1" xfId="0" applyNumberFormat="1" applyFont="1" applyFill="1" applyBorder="1" applyAlignment="1">
      <x:alignment vertical="center" wrapText="1"/>
    </x:xf>
    <x:xf numFmtId="200" fontId="2" fillId="3" borderId="1" xfId="0" applyNumberFormat="1" applyFont="1" applyFill="1" applyBorder="1" applyAlignment="1">
      <x:alignment vertical="center" wrapText="1"/>
    </x:xf>
    <x:xf numFmtId="0" fontId="0" fillId="5" borderId="0" xfId="0" applyNumberFormat="1" applyFont="1" applyFill="1" applyBorder="1" applyAlignment="1">
      <x:alignment vertical="center"/>
    </x:xf>
    <x:xf numFmtId="200" fontId="0" fillId="5" borderId="0" xfId="0" applyNumberFormat="1" applyFont="1" applyFill="1" applyBorder="1" applyAlignment="1">
      <x:alignment vertical="center"/>
    </x:xf>
    <x:xf numFmtId="0" fontId="2" fillId="5" borderId="0" xfId="0" applyNumberFormat="1" applyFont="1" applyFill="1" applyBorder="1" applyAlignment="1">
      <x:alignment vertical="center"/>
    </x:xf>
    <x:xf numFmtId="200" fontId="2" fillId="5" borderId="0" xfId="0" applyNumberFormat="1" applyFont="1" applyFill="1" applyBorder="1" applyAlignment="1">
      <x:alignment vertical="center"/>
    </x:xf>
    <x:xf numFmtId="0" fontId="2" fillId="5" borderId="0" xfId="0" applyNumberFormat="1" applyFont="1" applyFill="1" applyBorder="1" applyAlignment="1">
      <x:alignment vertical="center" wrapText="1"/>
    </x:xf>
    <x:xf numFmtId="200" fontId="2" fillId="5" borderId="0" xfId="0" applyNumberFormat="1" applyFont="1" applyFill="1" applyBorder="1" applyAlignment="1">
      <x:alignment vertical="center" wrapText="1"/>
    </x:xf>
    <x:xf numFmtId="0" fontId="0" fillId="5" borderId="1" xfId="0" applyNumberFormat="1" applyFont="1" applyFill="1" applyBorder="1" applyAlignment="1">
      <x:alignment vertical="center"/>
    </x:xf>
    <x:xf numFmtId="200" fontId="0" fillId="5" borderId="1" xfId="0" applyNumberFormat="1" applyFont="1" applyFill="1" applyBorder="1" applyAlignment="1">
      <x:alignment vertical="center"/>
    </x:xf>
    <x:xf numFmtId="0" fontId="2" fillId="5" borderId="1" xfId="0" applyNumberFormat="1" applyFont="1" applyFill="1" applyBorder="1" applyAlignment="1">
      <x:alignment vertical="center"/>
    </x:xf>
    <x:xf numFmtId="200" fontId="2" fillId="5" borderId="1" xfId="0" applyNumberFormat="1" applyFont="1" applyFill="1" applyBorder="1" applyAlignment="1">
      <x:alignment vertical="center"/>
    </x:xf>
    <x:xf numFmtId="0" fontId="2" fillId="5" borderId="1" xfId="0" applyNumberFormat="1" applyFont="1" applyFill="1" applyBorder="1" applyAlignment="1">
      <x:alignment vertical="center" wrapText="1"/>
    </x:xf>
    <x:xf numFmtId="200" fontId="2" fillId="5" borderId="1" xfId="0" applyNumberFormat="1" applyFont="1" applyFill="1" applyBorder="1" applyAlignment="1">
      <x:alignment vertical="center" wrapText="1"/>
    </x:xf>
    <x:xf numFmtId="200" fontId="0" fillId="6" borderId="0" xfId="0" applyNumberFormat="1" applyFont="1" applyFill="1" applyBorder="1" applyAlignment="1">
      <x:alignment vertical="center"/>
    </x:xf>
    <x:xf numFmtId="200" fontId="4" fillId="6" borderId="0" xfId="0" applyNumberFormat="1" applyFont="1" applyFill="1" applyBorder="1" applyAlignment="1">
      <x:alignment vertical="center"/>
    </x:xf>
    <x:xf numFmtId="200" fontId="4" fillId="6" borderId="0" xfId="0" applyNumberFormat="1" applyFont="1" applyFill="1" applyBorder="1" applyAlignment="1">
      <x:alignment horizontal="center" vertical="center"/>
    </x:xf>
    <x:xf numFmtId="200" fontId="0" fillId="6" borderId="1" xfId="0" applyNumberFormat="1" applyFont="1" applyFill="1" applyBorder="1" applyAlignment="1">
      <x:alignment vertical="center"/>
    </x:xf>
    <x:xf numFmtId="200" fontId="4" fillId="6" borderId="1" xfId="0" applyNumberFormat="1" applyFont="1" applyFill="1" applyBorder="1" applyAlignment="1">
      <x:alignment vertical="center"/>
    </x:xf>
    <x:xf numFmtId="200" fontId="4" fillId="6" borderId="1" xfId="0" applyNumberFormat="1" applyFont="1" applyFill="1" applyBorder="1" applyAlignment="1">
      <x:alignment horizontal="center" vertical="center"/>
    </x:xf>
    <x:xf numFmtId="200" fontId="5" fillId="0" borderId="0" xfId="0" applyNumberFormat="1" applyFont="1" applyFill="1" applyBorder="1" applyAlignment="1">
      <x:alignment vertical="center"/>
    </x:xf>
    <x:xf numFmtId="200" fontId="5" fillId="0" borderId="1" xfId="0" applyNumberFormat="1" applyFont="1" applyFill="1" applyBorder="1" applyAlignment="1">
      <x:alignment vertical="center"/>
    </x:xf>
    <x:xf numFmtId="201" fontId="5" fillId="0" borderId="0" xfId="0" applyNumberFormat="1" applyFont="1" applyFill="1" applyBorder="1" applyAlignment="1">
      <x:alignment vertical="center"/>
    </x:xf>
    <x:xf numFmtId="201" fontId="5" fillId="0" borderId="1" xfId="0" applyNumberFormat="1" applyFont="1" applyFill="1" applyBorder="1" applyAlignment="1">
      <x:alignment vertical="center"/>
    </x:xf>
    <x:xf numFmtId="200" fontId="5" fillId="3" borderId="0" xfId="0" applyNumberFormat="1" applyFont="1" applyFill="1" applyBorder="1" applyAlignment="1">
      <x:alignment vertical="center"/>
    </x:xf>
    <x:xf numFmtId="200" fontId="5" fillId="3" borderId="1" xfId="0" applyNumberFormat="1" applyFont="1" applyFill="1" applyBorder="1" applyAlignment="1">
      <x:alignment vertical="center"/>
    </x:xf>
    <x:xf numFmtId="201" fontId="5" fillId="3" borderId="0" xfId="0" applyNumberFormat="1" applyFont="1" applyFill="1" applyBorder="1" applyAlignment="1">
      <x:alignment vertical="center"/>
    </x:xf>
    <x:xf numFmtId="201" fontId="5" fillId="3" borderId="1" xfId="0" applyNumberFormat="1" applyFont="1" applyFill="1" applyBorder="1" applyAlignment="1">
      <x:alignment vertical="center"/>
    </x:xf>
    <x:xf numFmtId="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0" borderId="1" xfId="0" applyNumberFormat="1" applyFont="1" applyFill="1" applyBorder="1" applyAlignment="1">
      <x:alignment vertical="center"/>
    </x:xf>
    <x:xf numFmtId="0" fontId="5" fillId="0" borderId="0" xfId="0" applyNumberFormat="1" applyFont="1" applyFill="1" applyBorder="1" applyAlignment="1">
      <x:alignment vertical="center"/>
    </x:xf>
    <x:xf numFmtId="0" fontId="5" fillId="0" borderId="1" xfId="0" applyNumberFormat="1" applyFont="1" applyFill="1" applyBorder="1" applyAlignment="1">
      <x:alignment vertical="center"/>
    </x:xf>
    <x:xf numFmtId="0" fontId="7" fillId="6" borderId="0" xfId="0" applyNumberFormat="1" applyFont="1" applyFill="1" applyBorder="1" applyAlignment="1">
      <x:alignment vertical="center"/>
    </x:xf>
    <x:xf numFmtId="0" fontId="7" fillId="6" borderId="1" xfId="0" applyNumberFormat="1" applyFont="1" applyFill="1" applyBorder="1" applyAlignment="1">
      <x:alignment vertical="center"/>
    </x:xf>
    <x:xf numFmtId="200" fontId="6" fillId="0" borderId="0" xfId="0" applyNumberFormat="1" applyFont="1" applyFill="1" applyBorder="1" applyAlignment="1">
      <x:alignment vertical="center"/>
    </x:xf>
    <x:xf numFmtId="200" fontId="6" fillId="0" borderId="1" xfId="0" applyNumberFormat="1" applyFont="1" applyFill="1" applyBorder="1" applyAlignment="1">
      <x:alignment vertical="center"/>
    </x:xf>
    <x:xf numFmtId="202" fontId="6" fillId="0" borderId="0" xfId="0" applyNumberFormat="1" applyFont="1" applyFill="1" applyBorder="1" applyAlignment="1">
      <x:alignment vertical="center"/>
    </x:xf>
    <x:xf numFmtId="202" fontId="6" fillId="0" borderId="1" xfId="0" applyNumberFormat="1" applyFont="1" applyFill="1" applyBorder="1" applyAlignment="1">
      <x:alignment vertical="center"/>
    </x:xf>
    <x:xf numFmtId="200" fontId="7" fillId="0" borderId="0" xfId="0" applyNumberFormat="1" applyFont="1" applyFill="1" applyBorder="1" applyAlignment="1">
      <x:alignment vertical="center"/>
    </x:xf>
    <x:xf numFmtId="200" fontId="7" fillId="0" borderId="1" xfId="0" applyNumberFormat="1" applyFont="1" applyFill="1" applyBorder="1" applyAlignment="1">
      <x:alignment vertical="center"/>
    </x:xf>
    <x:xf numFmtId="203" fontId="7" fillId="0" borderId="0" xfId="0" applyNumberFormat="1" applyFont="1" applyFill="1" applyBorder="1" applyAlignment="1">
      <x:alignment vertical="center"/>
    </x:xf>
    <x:xf numFmtId="203" fontId="7" fillId="0" borderId="1" xfId="0" applyNumberFormat="1" applyFont="1" applyFill="1" applyBorder="1" applyAlignment="1">
      <x:alignment vertical="center"/>
    </x:xf>
    <x:xf numFmtId="200" fontId="6" fillId="3" borderId="0" xfId="0" applyNumberFormat="1" applyFont="1" applyFill="1" applyBorder="1" applyAlignment="1">
      <x:alignment vertical="center"/>
    </x:xf>
    <x:xf numFmtId="200" fontId="6" fillId="3" borderId="1" xfId="0" applyNumberFormat="1" applyFont="1" applyFill="1" applyBorder="1" applyAlignment="1">
      <x:alignment vertical="center"/>
    </x:xf>
    <x:xf numFmtId="0" fontId="8" fillId="3" borderId="0" xfId="0" applyNumberFormat="1" applyFont="1" applyFill="1" applyBorder="1" applyAlignment="1">
      <x:alignment vertical="center"/>
    </x:xf>
    <x:xf numFmtId="200" fontId="9" fillId="3" borderId="0" xfId="0" applyNumberFormat="1" applyFont="1" applyFill="1" applyBorder="1" applyAlignment="1">
      <x:alignment vertical="center"/>
    </x:xf>
    <x:xf numFmtId="200" fontId="8" fillId="3" borderId="0" xfId="0" applyNumberFormat="1" applyFont="1" applyFill="1" applyBorder="1" applyAlignment="1">
      <x:alignment vertical="center"/>
    </x:xf>
    <x:xf numFmtId="0" fontId="8" fillId="3" borderId="1" xfId="0" applyNumberFormat="1" applyFont="1" applyFill="1" applyBorder="1" applyAlignment="1">
      <x:alignment vertical="center"/>
    </x:xf>
    <x:xf numFmtId="200" fontId="9" fillId="3" borderId="1" xfId="0" applyNumberFormat="1" applyFont="1" applyFill="1" applyBorder="1" applyAlignment="1">
      <x:alignment vertical="center"/>
    </x:xf>
    <x:xf numFmtId="200" fontId="8" fillId="3" borderId="1" xfId="0" applyNumberFormat="1" applyFont="1" applyFill="1" applyBorder="1" applyAlignment="1">
      <x:alignment vertical="center"/>
    </x:xf>
    <x:xf numFmtId="0" fontId="0" fillId="7" borderId="0" xfId="0" applyNumberFormat="1" applyFont="1" applyFill="1" applyBorder="1" applyAlignment="1">
      <x:alignment vertical="center"/>
    </x:xf>
    <x:xf numFmtId="200" fontId="7" fillId="7" borderId="0" xfId="0" applyNumberFormat="1" applyFont="1" applyFill="1" applyBorder="1" applyAlignment="1">
      <x:alignment vertical="center"/>
    </x:xf>
    <x:xf numFmtId="200" fontId="0" fillId="7" borderId="0" xfId="0" applyNumberFormat="1" applyFont="1" applyFill="1" applyBorder="1" applyAlignment="1">
      <x:alignment vertical="center"/>
    </x:xf>
    <x:xf numFmtId="0" fontId="0" fillId="7" borderId="1" xfId="0" applyNumberFormat="1" applyFont="1" applyFill="1" applyBorder="1" applyAlignment="1">
      <x:alignment vertical="center"/>
    </x:xf>
    <x:xf numFmtId="200" fontId="7" fillId="7" borderId="1" xfId="0" applyNumberFormat="1" applyFont="1" applyFill="1" applyBorder="1" applyAlignment="1">
      <x:alignment vertical="center"/>
    </x:xf>
    <x:xf numFmtId="200" fontId="0" fillId="7" borderId="1" xfId="0" applyNumberFormat="1" applyFont="1" applyFill="1" applyBorder="1" applyAlignment="1">
      <x:alignment vertical="center"/>
    </x:xf>
    <x:xf numFmtId="0" fontId="8" fillId="7" borderId="0" xfId="0" applyNumberFormat="1" applyFont="1" applyFill="1" applyBorder="1" applyAlignment="1">
      <x:alignment vertical="center"/>
    </x:xf>
    <x:xf numFmtId="200" fontId="10" fillId="7" borderId="0" xfId="0" applyNumberFormat="1" applyFont="1" applyFill="1" applyBorder="1" applyAlignment="1">
      <x:alignment vertical="center"/>
    </x:xf>
    <x:xf numFmtId="200" fontId="8" fillId="7" borderId="0" xfId="0" applyNumberFormat="1" applyFont="1" applyFill="1" applyBorder="1" applyAlignment="1">
      <x:alignment vertical="center"/>
    </x:xf>
    <x:xf numFmtId="0" fontId="8" fillId="7" borderId="1" xfId="0" applyNumberFormat="1" applyFont="1" applyFill="1" applyBorder="1" applyAlignment="1">
      <x:alignment vertical="center"/>
    </x:xf>
    <x:xf numFmtId="200" fontId="10" fillId="7" borderId="1" xfId="0" applyNumberFormat="1" applyFont="1" applyFill="1" applyBorder="1" applyAlignment="1">
      <x:alignment vertical="center"/>
    </x:xf>
    <x:xf numFmtId="200" fontId="8" fillId="7" borderId="1" xfId="0" applyNumberFormat="1" applyFont="1" applyFill="1" applyBorder="1" applyAlignment="1">
      <x:alignment vertical="center"/>
    </x:xf>
    <x:xf numFmtId="200" fontId="6" fillId="7" borderId="0" xfId="0" applyNumberFormat="1" applyFont="1" applyFill="1" applyBorder="1" applyAlignment="1">
      <x:alignment vertical="center"/>
    </x:xf>
    <x:xf numFmtId="200" fontId="6" fillId="7" borderId="1" xfId="0" applyNumberFormat="1" applyFont="1" applyFill="1" applyBorder="1" applyAlignment="1">
      <x:alignment vertical="center"/>
    </x:xf>
    <x:xf numFmtId="200" fontId="9" fillId="7" borderId="0" xfId="0" applyNumberFormat="1" applyFont="1" applyFill="1" applyBorder="1" applyAlignment="1">
      <x:alignment vertical="center"/>
    </x:xf>
    <x:xf numFmtId="200" fontId="9" fillId="7" borderId="1" xfId="0" applyNumberFormat="1" applyFont="1" applyFill="1" applyBorder="1" applyAlignment="1">
      <x:alignment vertical="center"/>
    </x:xf>
    <x:xf numFmtId="0" fontId="11" fillId="5" borderId="0" xfId="0" applyNumberFormat="1" applyFont="1" applyFill="1" applyBorder="1" applyAlignment="1">
      <x:alignment vertical="center"/>
    </x:xf>
    <x:xf numFmtId="200" fontId="11" fillId="5" borderId="0" xfId="0" applyNumberFormat="1" applyFont="1" applyFill="1" applyBorder="1" applyAlignment="1">
      <x:alignment vertical="center"/>
    </x:xf>
    <x:xf numFmtId="0" fontId="11" fillId="5" borderId="0" xfId="0" applyNumberFormat="1" applyFont="1" applyFill="1" applyBorder="1" applyAlignment="1">
      <x:alignment vertical="center" wrapText="1"/>
    </x:xf>
    <x:xf numFmtId="200" fontId="11" fillId="5" borderId="0" xfId="0" applyNumberFormat="1" applyFont="1" applyFill="1" applyBorder="1" applyAlignment="1">
      <x:alignment vertical="center" wrapText="1"/>
    </x:xf>
    <x:xf numFmtId="0" fontId="11" fillId="5" borderId="1" xfId="0" applyNumberFormat="1" applyFont="1" applyFill="1" applyBorder="1" applyAlignment="1">
      <x:alignment vertical="center"/>
    </x:xf>
    <x:xf numFmtId="200" fontId="11" fillId="5" borderId="1" xfId="0" applyNumberFormat="1" applyFont="1" applyFill="1" applyBorder="1" applyAlignment="1">
      <x:alignment vertical="center"/>
    </x:xf>
    <x:xf numFmtId="0" fontId="11" fillId="5" borderId="1" xfId="0" applyNumberFormat="1" applyFont="1" applyFill="1" applyBorder="1" applyAlignment="1">
      <x:alignment vertical="center" wrapText="1"/>
    </x:xf>
    <x:xf numFmtId="200" fontId="11" fillId="5" borderId="1" xfId="0" applyNumberFormat="1" applyFont="1" applyFill="1" applyBorder="1" applyAlignment="1">
      <x:alignment vertical="center" wrapText="1"/>
    </x:xf>
    <x:xf numFmtId="200" fontId="7" fillId="3" borderId="0" xfId="0" applyNumberFormat="1" applyFont="1" applyFill="1" applyBorder="1" applyAlignment="1">
      <x:alignment vertical="center"/>
    </x:xf>
    <x:xf numFmtId="200" fontId="7" fillId="3" borderId="1" xfId="0" applyNumberFormat="1" applyFont="1" applyFill="1" applyBorder="1" applyAlignment="1">
      <x:alignment vertical="center"/>
    </x:xf>
    <x:xf numFmtId="200" fontId="10" fillId="3" borderId="0" xfId="0" applyNumberFormat="1" applyFont="1" applyFill="1" applyBorder="1" applyAlignment="1">
      <x:alignment vertical="center"/>
    </x:xf>
    <x:xf numFmtId="200" fontId="10" fillId="3" borderId="1" xfId="0" applyNumberFormat="1" applyFont="1" applyFill="1" applyBorder="1" applyAlignment="1">
      <x:alignment vertical="center"/>
    </x:xf>
    <x:xf numFmtId="201" fontId="7" fillId="0" borderId="0" xfId="0" applyNumberFormat="1" applyFont="1" applyFill="1" applyBorder="1" applyAlignment="1">
      <x:alignment vertical="center"/>
    </x:xf>
    <x:xf numFmtId="201" fontId="7" fillId="0" borderId="1" xfId="0" applyNumberFormat="1" applyFont="1" applyFill="1" applyBorder="1" applyAlignment="1">
      <x:alignment vertical="center"/>
    </x:xf>
    <x:xf numFmtId="201" fontId="7" fillId="7" borderId="0" xfId="0" applyNumberFormat="1" applyFont="1" applyFill="1" applyBorder="1" applyAlignment="1">
      <x:alignment vertical="center"/>
    </x:xf>
    <x:xf numFmtId="201" fontId="7" fillId="7" borderId="1" xfId="0" applyNumberFormat="1" applyFont="1" applyFill="1" applyBorder="1" applyAlignment="1">
      <x:alignment vertical="center"/>
    </x:xf>
    <x:xf numFmtId="201" fontId="10" fillId="7" borderId="0" xfId="0" applyNumberFormat="1" applyFont="1" applyFill="1" applyBorder="1" applyAlignment="1">
      <x:alignment vertical="center"/>
    </x:xf>
    <x:xf numFmtId="201" fontId="10" fillId="7" borderId="1" xfId="0" applyNumberFormat="1" applyFont="1" applyFill="1" applyBorder="1" applyAlignment="1">
      <x:alignment vertical="center"/>
    </x:xf>
    <x:xf numFmtId="203" fontId="6" fillId="0" borderId="0" xfId="0" applyNumberFormat="1" applyFont="1" applyFill="1" applyBorder="1" applyAlignment="1">
      <x:alignment vertical="center"/>
    </x:xf>
    <x:xf numFmtId="203" fontId="6" fillId="0" borderId="1" xfId="0" applyNumberFormat="1" applyFont="1" applyFill="1" applyBorder="1" applyAlignment="1">
      <x:alignment vertical="center"/>
    </x:xf>
    <x:xf numFmtId="203" fontId="5" fillId="0" borderId="0" xfId="0" applyNumberFormat="1" applyFont="1" applyFill="1" applyBorder="1" applyAlignment="1">
      <x:alignment vertical="center"/>
    </x:xf>
    <x:xf numFmtId="203" fontId="5" fillId="0" borderId="1" xfId="0" applyNumberFormat="1" applyFont="1" applyFill="1" applyBorder="1" applyAlignment="1">
      <x:alignment vertical="center"/>
    </x:xf>
    <x:xf numFmtId="203" fontId="6" fillId="6" borderId="0" xfId="0" applyNumberFormat="1" applyFont="1" applyFill="1" applyBorder="1" applyAlignment="1">
      <x:alignment vertical="center"/>
    </x:xf>
    <x:xf numFmtId="203" fontId="6" fillId="6" borderId="1" xfId="0" applyNumberFormat="1" applyFont="1" applyFill="1" applyBorder="1" applyAlignment="1">
      <x:alignment vertical="center"/>
    </x:xf>
    <x:xf numFmtId="200" fontId="6" fillId="6" borderId="0" xfId="0" applyNumberFormat="1" applyFont="1" applyFill="1" applyBorder="1" applyAlignment="1">
      <x:alignment vertical="center"/>
    </x:xf>
    <x:xf numFmtId="200" fontId="6" fillId="6" borderId="1" xfId="0" applyNumberFormat="1" applyFont="1" applyFill="1" applyBorder="1" applyAlignment="1">
      <x:alignment vertical="center"/>
    </x:xf>
    <x:xf numFmtId="200" fontId="12" fillId="3" borderId="0" xfId="0" applyNumberFormat="1" applyFont="1" applyFill="1" applyBorder="1" applyAlignment="1">
      <x:alignment vertical="center"/>
    </x:xf>
    <x:xf numFmtId="200" fontId="12" fillId="3" borderId="1" xfId="0" applyNumberFormat="1" applyFont="1" applyFill="1" applyBorder="1" applyAlignment="1">
      <x:alignment vertical="center"/>
    </x:xf>
    <x:xf numFmtId="200" fontId="5" fillId="7" borderId="0" xfId="0" applyNumberFormat="1" applyFont="1" applyFill="1" applyBorder="1" applyAlignment="1">
      <x:alignment vertical="center"/>
    </x:xf>
    <x:xf numFmtId="200" fontId="5" fillId="7" borderId="1" xfId="0" applyNumberFormat="1" applyFont="1" applyFill="1" applyBorder="1" applyAlignment="1">
      <x:alignment vertical="center"/>
    </x:xf>
    <x:xf numFmtId="200" fontId="12" fillId="7" borderId="0" xfId="0" applyNumberFormat="1" applyFont="1" applyFill="1" applyBorder="1" applyAlignment="1">
      <x:alignment vertical="center"/>
    </x:xf>
    <x:xf numFmtId="200" fontId="12" fillId="7" borderId="1" xfId="0" applyNumberFormat="1" applyFont="1" applyFill="1" applyBorder="1" applyAlignment="1">
      <x:alignment vertical="center"/>
    </x:xf>
    <x:xf numFmtId="202" fontId="5" fillId="0" borderId="0" xfId="0" applyNumberFormat="1" applyFont="1" applyFill="1" applyBorder="1" applyAlignment="1">
      <x:alignment vertical="center"/>
    </x:xf>
    <x:xf numFmtId="202" fontId="5" fillId="0" borderId="1" xfId="0" applyNumberFormat="1" applyFont="1" applyFill="1" applyBorder="1" applyAlignment="1">
      <x:alignment vertical="center"/>
    </x:xf>
    <x:xf numFmtId="201" fontId="5" fillId="7" borderId="0" xfId="0" applyNumberFormat="1" applyFont="1" applyFill="1" applyBorder="1" applyAlignment="1">
      <x:alignment vertical="center"/>
    </x:xf>
    <x:xf numFmtId="201" fontId="5" fillId="7" borderId="1" xfId="0" applyNumberFormat="1" applyFont="1" applyFill="1" applyBorder="1" applyAlignment="1">
      <x:alignment vertical="center"/>
    </x:xf>
    <x:xf numFmtId="201" fontId="12" fillId="7" borderId="0" xfId="0" applyNumberFormat="1" applyFont="1" applyFill="1" applyBorder="1" applyAlignment="1">
      <x:alignment vertical="center"/>
    </x:xf>
    <x:xf numFmtId="201" fontId="12" fillId="7" borderId="1" xfId="0" applyNumberFormat="1" applyFont="1" applyFill="1" applyBorder="1" applyAlignment="1">
      <x:alignment vertical="center"/>
    </x:xf>
    <x:xf numFmtId="200" fontId="0" fillId="0" borderId="0" xfId="0" applyNumberFormat="1" applyFont="1" applyFill="1" applyBorder="1" applyAlignment="1">
      <x:alignment horizontal="right" vertical="center"/>
    </x:xf>
    <x:xf numFmtId="200" fontId="3" fillId="4" borderId="0" xfId="0" applyNumberFormat="1" applyFont="1" applyFill="1" applyBorder="1" applyAlignment="1">
      <x:alignment horizontal="right" vertical="center"/>
    </x:xf>
    <x:xf numFmtId="200" fontId="9" fillId="3" borderId="0" xfId="0" applyNumberFormat="1" applyFont="1" applyFill="1" applyBorder="1" applyAlignment="1">
      <x:alignment horizontal="right" vertical="center"/>
    </x:xf>
    <x:xf numFmtId="200" fontId="8" fillId="3" borderId="0" xfId="0" applyNumberFormat="1" applyFont="1" applyFill="1" applyBorder="1" applyAlignment="1">
      <x:alignment horizontal="right" vertical="center"/>
    </x:xf>
    <x:xf numFmtId="200" fontId="6" fillId="0" borderId="0" xfId="0" applyNumberFormat="1" applyFont="1" applyFill="1" applyBorder="1" applyAlignment="1">
      <x:alignment horizontal="right" vertical="center"/>
    </x:xf>
    <x:xf numFmtId="200" fontId="10" fillId="7" borderId="0" xfId="0" applyNumberFormat="1" applyFont="1" applyFill="1" applyBorder="1" applyAlignment="1">
      <x:alignment horizontal="right" vertical="center"/>
    </x:xf>
    <x:xf numFmtId="200" fontId="8" fillId="7" borderId="0" xfId="0" applyNumberFormat="1" applyFont="1" applyFill="1" applyBorder="1" applyAlignment="1">
      <x:alignment horizontal="right" vertical="center"/>
    </x:xf>
    <x:xf numFmtId="203" fontId="7" fillId="0" borderId="0" xfId="0" applyNumberFormat="1" applyFont="1" applyFill="1" applyBorder="1" applyAlignment="1">
      <x:alignment horizontal="right" vertical="center"/>
    </x:xf>
    <x:xf numFmtId="200" fontId="9" fillId="7" borderId="0" xfId="0" applyNumberFormat="1" applyFont="1" applyFill="1" applyBorder="1" applyAlignment="1">
      <x:alignment horizontal="right" vertical="center"/>
    </x:xf>
    <x:xf numFmtId="202" fontId="6" fillId="0" borderId="0" xfId="0" applyNumberFormat="1" applyFont="1" applyFill="1" applyBorder="1" applyAlignment="1">
      <x:alignment horizontal="right" vertical="center"/>
    </x:xf>
    <x:xf numFmtId="200" fontId="11" fillId="5" borderId="0" xfId="0" applyNumberFormat="1" applyFont="1" applyFill="1" applyBorder="1" applyAlignment="1">
      <x:alignment horizontal="right" vertical="center" wrapText="1"/>
    </x:xf>
    <x:xf numFmtId="200" fontId="0" fillId="0" borderId="1" xfId="0" applyNumberFormat="1" applyFont="1" applyFill="1" applyBorder="1" applyAlignment="1">
      <x:alignment horizontal="right" vertical="center"/>
    </x:xf>
    <x:xf numFmtId="200" fontId="3" fillId="4" borderId="1" xfId="0" applyNumberFormat="1" applyFont="1" applyFill="1" applyBorder="1" applyAlignment="1">
      <x:alignment horizontal="right" vertical="center"/>
    </x:xf>
    <x:xf numFmtId="200" fontId="9" fillId="3" borderId="1" xfId="0" applyNumberFormat="1" applyFont="1" applyFill="1" applyBorder="1" applyAlignment="1">
      <x:alignment horizontal="right" vertical="center"/>
    </x:xf>
    <x:xf numFmtId="200" fontId="8" fillId="3" borderId="1" xfId="0" applyNumberFormat="1" applyFont="1" applyFill="1" applyBorder="1" applyAlignment="1">
      <x:alignment horizontal="right" vertical="center"/>
    </x:xf>
    <x:xf numFmtId="200" fontId="6" fillId="0" borderId="1" xfId="0" applyNumberFormat="1" applyFont="1" applyFill="1" applyBorder="1" applyAlignment="1">
      <x:alignment horizontal="right" vertical="center"/>
    </x:xf>
    <x:xf numFmtId="200" fontId="10" fillId="7" borderId="1" xfId="0" applyNumberFormat="1" applyFont="1" applyFill="1" applyBorder="1" applyAlignment="1">
      <x:alignment horizontal="right" vertical="center"/>
    </x:xf>
    <x:xf numFmtId="200" fontId="8" fillId="7" borderId="1" xfId="0" applyNumberFormat="1" applyFont="1" applyFill="1" applyBorder="1" applyAlignment="1">
      <x:alignment horizontal="right" vertical="center"/>
    </x:xf>
    <x:xf numFmtId="203" fontId="7" fillId="0" borderId="1" xfId="0" applyNumberFormat="1" applyFont="1" applyFill="1" applyBorder="1" applyAlignment="1">
      <x:alignment horizontal="right" vertical="center"/>
    </x:xf>
    <x:xf numFmtId="200" fontId="9" fillId="7" borderId="1" xfId="0" applyNumberFormat="1" applyFont="1" applyFill="1" applyBorder="1" applyAlignment="1">
      <x:alignment horizontal="right" vertical="center"/>
    </x:xf>
    <x:xf numFmtId="202" fontId="6" fillId="0" borderId="1" xfId="0" applyNumberFormat="1" applyFont="1" applyFill="1" applyBorder="1" applyAlignment="1">
      <x:alignment horizontal="right" vertical="center"/>
    </x:xf>
    <x:xf numFmtId="200" fontId="11" fillId="5" borderId="1" xfId="0" applyNumberFormat="1" applyFont="1" applyFill="1" applyBorder="1" applyAlignment="1">
      <x:alignment horizontal="right" vertical="center" wrapText="1"/>
    </x:xf>
    <x:xf numFmtId="200" fontId="10" fillId="3" borderId="0" xfId="0" applyNumberFormat="1" applyFont="1" applyFill="1" applyBorder="1" applyAlignment="1">
      <x:alignment horizontal="right" vertical="center"/>
    </x:xf>
    <x:xf numFmtId="200" fontId="10" fillId="3" borderId="1" xfId="0" applyNumberFormat="1" applyFont="1" applyFill="1" applyBorder="1" applyAlignment="1">
      <x:alignment horizontal="right" vertical="center"/>
    </x:xf>
    <x:xf numFmtId="200" fontId="7" fillId="0" borderId="0" xfId="0" applyNumberFormat="1" applyFont="1" applyFill="1" applyBorder="1" applyAlignment="1">
      <x:alignment horizontal="right" vertical="center"/>
    </x:xf>
    <x:xf numFmtId="201" fontId="10" fillId="7" borderId="0" xfId="0" applyNumberFormat="1" applyFont="1" applyFill="1" applyBorder="1" applyAlignment="1">
      <x:alignment horizontal="right" vertical="center"/>
    </x:xf>
    <x:xf numFmtId="200" fontId="7" fillId="0" borderId="1" xfId="0" applyNumberFormat="1" applyFont="1" applyFill="1" applyBorder="1" applyAlignment="1">
      <x:alignment horizontal="right" vertical="center"/>
    </x:xf>
    <x:xf numFmtId="201" fontId="10" fillId="7" borderId="1" xfId="0" applyNumberFormat="1" applyFont="1" applyFill="1" applyBorder="1" applyAlignment="1">
      <x:alignment horizontal="right" vertical="center"/>
    </x:xf>
    <x:xf numFmtId="200" fontId="5" fillId="0" borderId="0" xfId="0" applyNumberFormat="1" applyFont="1" applyFill="1" applyBorder="1" applyAlignment="1">
      <x:alignment horizontal="right" vertical="center"/>
    </x:xf>
    <x:xf numFmtId="203" fontId="6" fillId="6" borderId="0" xfId="0" applyNumberFormat="1" applyFont="1" applyFill="1" applyBorder="1" applyAlignment="1">
      <x:alignment horizontal="right" vertical="center"/>
    </x:xf>
    <x:xf numFmtId="203" fontId="5" fillId="0" borderId="0" xfId="0" applyNumberFormat="1" applyFont="1" applyFill="1" applyBorder="1" applyAlignment="1">
      <x:alignment horizontal="right" vertical="center"/>
    </x:xf>
    <x:xf numFmtId="200" fontId="5" fillId="0" borderId="1" xfId="0" applyNumberFormat="1" applyFont="1" applyFill="1" applyBorder="1" applyAlignment="1">
      <x:alignment horizontal="right" vertical="center"/>
    </x:xf>
    <x:xf numFmtId="203" fontId="6" fillId="6" borderId="1" xfId="0" applyNumberFormat="1" applyFont="1" applyFill="1" applyBorder="1" applyAlignment="1">
      <x:alignment horizontal="right" vertical="center"/>
    </x:xf>
    <x:xf numFmtId="203" fontId="5" fillId="0" borderId="1" xfId="0" applyNumberFormat="1" applyFont="1" applyFill="1" applyBorder="1" applyAlignment="1">
      <x:alignment horizontal="right" vertical="center"/>
    </x:xf>
    <x:xf numFmtId="200" fontId="6" fillId="6" borderId="0" xfId="0" applyNumberFormat="1" applyFont="1" applyFill="1" applyBorder="1" applyAlignment="1">
      <x:alignment horizontal="right" vertical="center"/>
    </x:xf>
    <x:xf numFmtId="200" fontId="6" fillId="6" borderId="1" xfId="0" applyNumberFormat="1" applyFont="1" applyFill="1" applyBorder="1" applyAlignment="1">
      <x:alignment horizontal="right" vertical="center"/>
    </x:xf>
    <x:xf numFmtId="200" fontId="12" fillId="3" borderId="0" xfId="0" applyNumberFormat="1" applyFont="1" applyFill="1" applyBorder="1" applyAlignment="1">
      <x:alignment horizontal="right" vertical="center"/>
    </x:xf>
    <x:xf numFmtId="200" fontId="12" fillId="7" borderId="0" xfId="0" applyNumberFormat="1" applyFont="1" applyFill="1" applyBorder="1" applyAlignment="1">
      <x:alignment horizontal="right" vertical="center"/>
    </x:xf>
    <x:xf numFmtId="200" fontId="12" fillId="3" borderId="1" xfId="0" applyNumberFormat="1" applyFont="1" applyFill="1" applyBorder="1" applyAlignment="1">
      <x:alignment horizontal="right" vertical="center"/>
    </x:xf>
    <x:xf numFmtId="200" fontId="12" fillId="7" borderId="1" xfId="0" applyNumberFormat="1" applyFont="1" applyFill="1" applyBorder="1" applyAlignment="1">
      <x:alignment horizontal="right" vertical="center"/>
    </x:xf>
    <x:xf numFmtId="202" fontId="5" fillId="0" borderId="0" xfId="0" applyNumberFormat="1" applyFont="1" applyFill="1" applyBorder="1" applyAlignment="1">
      <x:alignment horizontal="right" vertical="center"/>
    </x:xf>
    <x:xf numFmtId="202" fontId="5" fillId="0" borderId="1" xfId="0" applyNumberFormat="1" applyFont="1" applyFill="1" applyBorder="1" applyAlignment="1">
      <x:alignment horizontal="right" vertical="center"/>
    </x:xf>
    <x:xf numFmtId="201" fontId="12" fillId="7" borderId="0" xfId="0" applyNumberFormat="1" applyFont="1" applyFill="1" applyBorder="1" applyAlignment="1">
      <x:alignment horizontal="right" vertical="center"/>
    </x:xf>
    <x:xf numFmtId="201" fontId="12" fillId="7" borderId="1" xfId="0" applyNumberFormat="1" applyFont="1" applyFill="1" applyBorder="1" applyAlignment="1">
      <x:alignment horizontal="right" vertical="center"/>
    </x:xf>
    <x:xf numFmtId="201" fontId="5" fillId="0" borderId="0" xfId="0" applyNumberFormat="1" applyFont="1" applyFill="1" applyBorder="1" applyAlignment="1">
      <x:alignment horizontal="right" vertical="center"/>
    </x:xf>
    <x:xf numFmtId="201" fontId="7" fillId="0" borderId="0" xfId="0" applyNumberFormat="1" applyFont="1" applyFill="1" applyBorder="1" applyAlignment="1">
      <x:alignment horizontal="right" vertical="center"/>
    </x:xf>
    <x:xf numFmtId="201" fontId="5" fillId="0" borderId="1" xfId="0" applyNumberFormat="1" applyFont="1" applyFill="1" applyBorder="1" applyAlignment="1">
      <x:alignment horizontal="right" vertical="center"/>
    </x:xf>
    <x:xf numFmtId="201" fontId="7" fillId="0" borderId="1" xfId="0" applyNumberFormat="1" applyFont="1" applyFill="1" applyBorder="1" applyAlignment="1">
      <x:alignment horizontal="right" vertical="center"/>
    </x:xf>
    <x:xf numFmtId="200" fontId="0" fillId="3" borderId="0" xfId="0" applyNumberFormat="1" applyFont="1" applyFill="1" applyBorder="1" applyAlignment="1">
      <x:alignment horizontal="right" vertical="center"/>
    </x:xf>
    <x:xf numFmtId="0" fontId="13" fillId="3" borderId="0" xfId="0" applyNumberFormat="1" applyFont="1" applyFill="1" applyBorder="1" applyAlignment="1">
      <x:alignment vertical="center"/>
    </x:xf>
    <x:xf numFmtId="200" fontId="13" fillId="3" borderId="0" xfId="0" applyNumberFormat="1" applyFont="1" applyFill="1" applyBorder="1" applyAlignment="1">
      <x:alignment horizontal="right" vertical="center"/>
    </x:xf>
    <x:xf numFmtId="0" fontId="13" fillId="3" borderId="0" xfId="0" applyNumberFormat="1" applyFont="1" applyFill="1" applyBorder="1" applyAlignment="1">
      <x:alignment vertical="center" wrapText="1"/>
    </x:xf>
    <x:xf numFmtId="200" fontId="13" fillId="3" borderId="0" xfId="0" applyNumberFormat="1" applyFont="1" applyFill="1" applyBorder="1" applyAlignment="1">
      <x:alignment horizontal="right" vertical="center" wrapText="1"/>
    </x:xf>
    <x:xf numFmtId="200" fontId="0" fillId="3" borderId="1" xfId="0" applyNumberFormat="1" applyFont="1" applyFill="1" applyBorder="1" applyAlignment="1">
      <x:alignment horizontal="right" vertical="center"/>
    </x:xf>
    <x:xf numFmtId="0" fontId="13" fillId="3" borderId="1" xfId="0" applyNumberFormat="1" applyFont="1" applyFill="1" applyBorder="1" applyAlignment="1">
      <x:alignment vertical="center"/>
    </x:xf>
    <x:xf numFmtId="200" fontId="13" fillId="3" borderId="1" xfId="0" applyNumberFormat="1" applyFont="1" applyFill="1" applyBorder="1" applyAlignment="1">
      <x:alignment horizontal="right" vertical="center"/>
    </x:xf>
    <x:xf numFmtId="0" fontId="13" fillId="3" borderId="1" xfId="0" applyNumberFormat="1" applyFont="1" applyFill="1" applyBorder="1" applyAlignment="1">
      <x:alignment vertical="center" wrapText="1"/>
    </x:xf>
    <x:xf numFmtId="200" fontId="13" fillId="3" borderId="1" xfId="0" applyNumberFormat="1" applyFont="1" applyFill="1" applyBorder="1" applyAlignment="1">
      <x:alignment horizontal="right" vertical="center" wrapText="1"/>
    </x:xf>
    <x:xf numFmtId="200" fontId="0" fillId="4" borderId="0" xfId="0" applyNumberFormat="1" applyFont="1" applyFill="1" applyBorder="1" applyAlignment="1">
      <x:alignment horizontal="right" vertical="center"/>
    </x:xf>
    <x:xf numFmtId="200" fontId="0" fillId="4" borderId="1" xfId="0" applyNumberFormat="1" applyFont="1" applyFill="1" applyBorder="1" applyAlignment="1">
      <x:alignment horizontal="right" vertical="center"/>
    </x:xf>
    <x:xf numFmtId="203" fontId="6" fillId="0" borderId="0" xfId="0" applyNumberFormat="1" applyFont="1" applyFill="1" applyBorder="1" applyAlignment="1">
      <x:alignment horizontal="right" vertical="center"/>
    </x:xf>
    <x:xf numFmtId="203" fontId="6" fillId="0" borderId="1" xfId="0" applyNumberFormat="1" applyFont="1" applyFill="1" applyBorder="1" applyAlignment="1">
      <x:alignment horizontal="right" vertical="center"/>
    </x:xf>
    <x:xf numFmtId="200" fontId="0" fillId="5" borderId="0" xfId="0" applyNumberFormat="1" applyFont="1" applyFill="1" applyBorder="1" applyAlignment="1">
      <x:alignment horizontal="right" vertical="center"/>
    </x:xf>
    <x:xf numFmtId="200" fontId="11" fillId="5" borderId="0" xfId="0" applyNumberFormat="1" applyFont="1" applyFill="1" applyBorder="1" applyAlignment="1">
      <x:alignment horizontal="right" vertical="center"/>
    </x:xf>
    <x:xf numFmtId="200" fontId="0" fillId="5" borderId="1" xfId="0" applyNumberFormat="1" applyFont="1" applyFill="1" applyBorder="1" applyAlignment="1">
      <x:alignment horizontal="right" vertical="center"/>
    </x:xf>
    <x:xf numFmtId="200" fontId="11" fillId="5" borderId="1" xfId="0" applyNumberFormat="1" applyFont="1" applyFill="1" applyBorder="1" applyAlignment="1">
      <x:alignment horizontal="right" vertical="center"/>
    </x:xf>
    <x:xf numFmtId="0" fontId="5" fillId="0" borderId="0" xfId="0" applyNumberFormat="1" applyFont="1" applyFill="1" applyBorder="1"/>
    <x:xf numFmtId="0" fontId="5"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204" fontId="0" fillId="0" borderId="0" xfId="0" applyNumberFormat="1" applyFont="1" applyFill="1" applyBorder="1" applyAlignment="1">
      <x:alignment horizontal="right" vertical="center"/>
    </x:xf>
    <x:xf numFmtId="204" fontId="3" fillId="4" borderId="0" xfId="0" applyNumberFormat="1" applyFont="1" applyFill="1" applyBorder="1" applyAlignment="1">
      <x:alignment horizontal="right" vertical="center"/>
    </x:xf>
    <x:xf numFmtId="204" fontId="9" fillId="3" borderId="0" xfId="0" applyNumberFormat="1" applyFont="1" applyFill="1" applyBorder="1" applyAlignment="1">
      <x:alignment horizontal="right" vertical="center"/>
    </x:xf>
    <x:xf numFmtId="204" fontId="8" fillId="3" borderId="0" xfId="0" applyNumberFormat="1" applyFont="1" applyFill="1" applyBorder="1" applyAlignment="1">
      <x:alignment horizontal="right" vertical="center"/>
    </x:xf>
    <x:xf numFmtId="204" fontId="6" fillId="0" borderId="0" xfId="0" applyNumberFormat="1" applyFont="1" applyFill="1" applyBorder="1" applyAlignment="1">
      <x:alignment horizontal="right" vertical="center"/>
    </x:xf>
    <x:xf numFmtId="204" fontId="10" fillId="7" borderId="0" xfId="0" applyNumberFormat="1" applyFont="1" applyFill="1" applyBorder="1" applyAlignment="1">
      <x:alignment horizontal="right" vertical="center"/>
    </x:xf>
    <x:xf numFmtId="204" fontId="8" fillId="7" borderId="0" xfId="0" applyNumberFormat="1" applyFont="1" applyFill="1" applyBorder="1" applyAlignment="1">
      <x:alignment horizontal="right" vertical="center"/>
    </x:xf>
    <x:xf numFmtId="204" fontId="7" fillId="0" borderId="0" xfId="0" applyNumberFormat="1" applyFont="1" applyFill="1" applyBorder="1" applyAlignment="1">
      <x:alignment horizontal="right" vertical="center"/>
    </x:xf>
    <x:xf numFmtId="204" fontId="9" fillId="7" borderId="0" xfId="0" applyNumberFormat="1" applyFont="1" applyFill="1" applyBorder="1" applyAlignment="1">
      <x:alignment horizontal="right" vertical="center"/>
    </x:xf>
    <x:xf numFmtId="204" fontId="11" fillId="5" borderId="0" xfId="0" applyNumberFormat="1" applyFont="1" applyFill="1" applyBorder="1" applyAlignment="1">
      <x:alignment horizontal="right" vertical="center" wrapText="1"/>
    </x:xf>
    <x:xf numFmtId="204" fontId="13" fillId="3" borderId="0" xfId="0" applyNumberFormat="1" applyFont="1" applyFill="1" applyBorder="1" applyAlignment="1">
      <x:alignment horizontal="right" vertical="center" wrapText="1"/>
    </x:xf>
    <x:xf numFmtId="204" fontId="0" fillId="0" borderId="1" xfId="0" applyNumberFormat="1" applyFont="1" applyFill="1" applyBorder="1" applyAlignment="1">
      <x:alignment horizontal="right" vertical="center"/>
    </x:xf>
    <x:xf numFmtId="204" fontId="3" fillId="4" borderId="1" xfId="0" applyNumberFormat="1" applyFont="1" applyFill="1" applyBorder="1" applyAlignment="1">
      <x:alignment horizontal="right" vertical="center"/>
    </x:xf>
    <x:xf numFmtId="204" fontId="9" fillId="3" borderId="1" xfId="0" applyNumberFormat="1" applyFont="1" applyFill="1" applyBorder="1" applyAlignment="1">
      <x:alignment horizontal="right" vertical="center"/>
    </x:xf>
    <x:xf numFmtId="204" fontId="8" fillId="3" borderId="1" xfId="0" applyNumberFormat="1" applyFont="1" applyFill="1" applyBorder="1" applyAlignment="1">
      <x:alignment horizontal="right" vertical="center"/>
    </x:xf>
    <x:xf numFmtId="204" fontId="6" fillId="0" borderId="1" xfId="0" applyNumberFormat="1" applyFont="1" applyFill="1" applyBorder="1" applyAlignment="1">
      <x:alignment horizontal="right" vertical="center"/>
    </x:xf>
    <x:xf numFmtId="204" fontId="10" fillId="7" borderId="1" xfId="0" applyNumberFormat="1" applyFont="1" applyFill="1" applyBorder="1" applyAlignment="1">
      <x:alignment horizontal="right" vertical="center"/>
    </x:xf>
    <x:xf numFmtId="204" fontId="8" fillId="7" borderId="1" xfId="0" applyNumberFormat="1" applyFont="1" applyFill="1" applyBorder="1" applyAlignment="1">
      <x:alignment horizontal="right" vertical="center"/>
    </x:xf>
    <x:xf numFmtId="204" fontId="7" fillId="0" borderId="1" xfId="0" applyNumberFormat="1" applyFont="1" applyFill="1" applyBorder="1" applyAlignment="1">
      <x:alignment horizontal="right" vertical="center"/>
    </x:xf>
    <x:xf numFmtId="204" fontId="9" fillId="7" borderId="1" xfId="0" applyNumberFormat="1" applyFont="1" applyFill="1" applyBorder="1" applyAlignment="1">
      <x:alignment horizontal="right" vertical="center"/>
    </x:xf>
    <x:xf numFmtId="204" fontId="11" fillId="5" borderId="1" xfId="0" applyNumberFormat="1" applyFont="1" applyFill="1" applyBorder="1" applyAlignment="1">
      <x:alignment horizontal="right" vertical="center" wrapText="1"/>
    </x:xf>
    <x:xf numFmtId="204" fontId="13" fillId="3" borderId="1" xfId="0" applyNumberFormat="1" applyFont="1" applyFill="1" applyBorder="1" applyAlignment="1">
      <x:alignment horizontal="right" vertical="center" wrapText="1"/>
    </x:xf>
    <x:xf numFmtId="204" fontId="10" fillId="3" borderId="0" xfId="0" applyNumberFormat="1" applyFont="1" applyFill="1" applyBorder="1" applyAlignment="1">
      <x:alignment horizontal="right" vertical="center"/>
    </x:xf>
    <x:xf numFmtId="204" fontId="10" fillId="3" borderId="1" xfId="0" applyNumberFormat="1" applyFont="1" applyFill="1" applyBorder="1" applyAlignment="1">
      <x:alignment horizontal="right" vertical="center"/>
    </x:xf>
    <x:xf numFmtId="204" fontId="5" fillId="0" borderId="0" xfId="0" applyNumberFormat="1" applyFont="1" applyFill="1" applyBorder="1" applyAlignment="1">
      <x:alignment horizontal="right" vertical="center"/>
    </x:xf>
    <x:xf numFmtId="204" fontId="6" fillId="6" borderId="0" xfId="0" applyNumberFormat="1" applyFont="1" applyFill="1" applyBorder="1" applyAlignment="1">
      <x:alignment horizontal="right" vertical="center"/>
    </x:xf>
    <x:xf numFmtId="204" fontId="5" fillId="0" borderId="1" xfId="0" applyNumberFormat="1" applyFont="1" applyFill="1" applyBorder="1" applyAlignment="1">
      <x:alignment horizontal="right" vertical="center"/>
    </x:xf>
    <x:xf numFmtId="204" fontId="6" fillId="6" borderId="1" xfId="0" applyNumberFormat="1" applyFont="1" applyFill="1" applyBorder="1" applyAlignment="1">
      <x:alignment horizontal="right" vertical="center"/>
    </x:xf>
    <x:xf numFmtId="204" fontId="3" fillId="4" borderId="0" xfId="0" applyNumberFormat="1" applyFont="1" applyFill="1" applyBorder="1" applyAlignment="1">
      <x:alignment horizontal="left" vertical="center"/>
    </x:xf>
    <x:xf numFmtId="204" fontId="3" fillId="4" borderId="1" xfId="0" applyNumberFormat="1" applyFont="1" applyFill="1" applyBorder="1" applyAlignment="1">
      <x:alignment horizontal="left" vertical="center"/>
    </x:xf>
    <x:xf numFmtId="204" fontId="12" fillId="3" borderId="0" xfId="0" applyNumberFormat="1" applyFont="1" applyFill="1" applyBorder="1" applyAlignment="1">
      <x:alignment horizontal="right" vertical="center"/>
    </x:xf>
    <x:xf numFmtId="204" fontId="12" fillId="7" borderId="0" xfId="0" applyNumberFormat="1" applyFont="1" applyFill="1" applyBorder="1" applyAlignment="1">
      <x:alignment horizontal="right" vertical="center"/>
    </x:xf>
    <x:xf numFmtId="204" fontId="12" fillId="3" borderId="1" xfId="0" applyNumberFormat="1" applyFont="1" applyFill="1" applyBorder="1" applyAlignment="1">
      <x:alignment horizontal="right" vertical="center"/>
    </x:xf>
    <x:xf numFmtId="204" fontId="12" fillId="7" borderId="1" xfId="0" applyNumberFormat="1" applyFont="1" applyFill="1" applyBorder="1" applyAlignment="1">
      <x:alignment horizontal="right" vertical="center"/>
    </x:xf>
    <x:xf numFmtId="204" fontId="0"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204" fontId="7" fillId="0" borderId="0" xfId="0" applyNumberFormat="1" applyFont="1" applyFill="1" applyBorder="1" applyAlignment="1">
      <x:alignment vertical="center"/>
    </x:xf>
    <x:xf numFmtId="204" fontId="8" fillId="7" borderId="0" xfId="0" applyNumberFormat="1" applyFont="1" applyFill="1" applyBorder="1" applyAlignment="1">
      <x:alignment vertical="center"/>
    </x:xf>
    <x:xf numFmtId="204" fontId="9" fillId="7" borderId="0" xfId="0" applyNumberFormat="1" applyFont="1" applyFill="1" applyBorder="1" applyAlignment="1">
      <x:alignment vertical="center"/>
    </x:xf>
    <x:xf numFmtId="204" fontId="10" fillId="7" borderId="0" xfId="0" applyNumberFormat="1" applyFont="1" applyFill="1" applyBorder="1" applyAlignment="1">
      <x:alignment vertical="center"/>
    </x:xf>
    <x:xf numFmtId="204" fontId="6" fillId="0" borderId="0" xfId="0" applyNumberFormat="1" applyFont="1" applyFill="1" applyBorder="1" applyAlignment="1">
      <x:alignment vertical="center"/>
    </x:xf>
    <x:xf numFmtId="204" fontId="8" fillId="3" borderId="0" xfId="0" applyNumberFormat="1" applyFont="1" applyFill="1" applyBorder="1" applyAlignment="1">
      <x:alignment vertical="center"/>
    </x:xf>
    <x:xf numFmtId="204" fontId="9" fillId="3" borderId="0" xfId="0" applyNumberFormat="1" applyFont="1" applyFill="1" applyBorder="1" applyAlignment="1">
      <x:alignment vertical="center"/>
    </x:xf>
    <x:xf numFmtId="204" fontId="10" fillId="3" borderId="0" xfId="0" applyNumberFormat="1" applyFont="1" applyFill="1" applyBorder="1" applyAlignment="1">
      <x:alignment vertical="center"/>
    </x:xf>
    <x:xf numFmtId="204" fontId="11" fillId="5" borderId="0" xfId="0" applyNumberFormat="1" applyFont="1" applyFill="1" applyBorder="1" applyAlignment="1">
      <x:alignment vertical="center" wrapText="1"/>
    </x:xf>
    <x:xf numFmtId="204" fontId="0" fillId="0" borderId="1" xfId="0" applyNumberFormat="1" applyFont="1" applyFill="1" applyBorder="1" applyAlignment="1">
      <x:alignment vertical="center"/>
    </x:xf>
    <x:xf numFmtId="204" fontId="5" fillId="0" borderId="1" xfId="0" applyNumberFormat="1" applyFont="1" applyFill="1" applyBorder="1" applyAlignment="1">
      <x:alignment vertical="center"/>
    </x:xf>
    <x:xf numFmtId="204" fontId="7" fillId="0" borderId="1" xfId="0" applyNumberFormat="1" applyFont="1" applyFill="1" applyBorder="1" applyAlignment="1">
      <x:alignment vertical="center"/>
    </x:xf>
    <x:xf numFmtId="204" fontId="8" fillId="7" borderId="1" xfId="0" applyNumberFormat="1" applyFont="1" applyFill="1" applyBorder="1" applyAlignment="1">
      <x:alignment vertical="center"/>
    </x:xf>
    <x:xf numFmtId="204" fontId="9" fillId="7" borderId="1" xfId="0" applyNumberFormat="1" applyFont="1" applyFill="1" applyBorder="1" applyAlignment="1">
      <x:alignment vertical="center"/>
    </x:xf>
    <x:xf numFmtId="204" fontId="10" fillId="7" borderId="1" xfId="0" applyNumberFormat="1" applyFont="1" applyFill="1" applyBorder="1" applyAlignment="1">
      <x:alignment vertical="center"/>
    </x:xf>
    <x:xf numFmtId="204" fontId="6" fillId="0" borderId="1" xfId="0" applyNumberFormat="1" applyFont="1" applyFill="1" applyBorder="1" applyAlignment="1">
      <x:alignment vertical="center"/>
    </x:xf>
    <x:xf numFmtId="204" fontId="8" fillId="3" borderId="1" xfId="0" applyNumberFormat="1" applyFont="1" applyFill="1" applyBorder="1" applyAlignment="1">
      <x:alignment vertical="center"/>
    </x:xf>
    <x:xf numFmtId="204" fontId="9" fillId="3" borderId="1" xfId="0" applyNumberFormat="1" applyFont="1" applyFill="1" applyBorder="1" applyAlignment="1">
      <x:alignment vertical="center"/>
    </x:xf>
    <x:xf numFmtId="204" fontId="10" fillId="3" borderId="1" xfId="0" applyNumberFormat="1" applyFont="1" applyFill="1" applyBorder="1" applyAlignment="1">
      <x:alignment vertical="center"/>
    </x:xf>
    <x:xf numFmtId="204" fontId="11" fillId="5" borderId="1" xfId="0" applyNumberFormat="1" applyFont="1" applyFill="1" applyBorder="1" applyAlignment="1">
      <x:alignment vertical="center" wrapText="1"/>
    </x:xf>
    <x:xf numFmtId="205" fontId="7" fillId="0" borderId="0" xfId="0" applyNumberFormat="1" applyFont="1" applyFill="1" applyBorder="1" applyAlignment="1">
      <x:alignment horizontal="right" vertical="center"/>
    </x:xf>
    <x:xf numFmtId="205" fontId="0" fillId="0" borderId="0" xfId="0" applyNumberFormat="1" applyFont="1" applyFill="1" applyBorder="1" applyAlignment="1">
      <x:alignment horizontal="right" vertical="center"/>
    </x:xf>
    <x:xf numFmtId="205" fontId="7" fillId="0" borderId="1" xfId="0" applyNumberFormat="1" applyFont="1" applyFill="1" applyBorder="1" applyAlignment="1">
      <x:alignment horizontal="right" vertical="center"/>
    </x:xf>
    <x:xf numFmtId="205" fontId="0" fillId="0" borderId="1" xfId="0" applyNumberFormat="1" applyFont="1" applyFill="1" applyBorder="1" applyAlignment="1">
      <x:alignment horizontal="right" vertical="center"/>
    </x:xf>
    <x:xf numFmtId="205" fontId="6" fillId="6" borderId="0" xfId="0" applyNumberFormat="1" applyFont="1" applyFill="1" applyBorder="1" applyAlignment="1">
      <x:alignment horizontal="right" vertical="center"/>
    </x:xf>
    <x:xf numFmtId="205" fontId="5" fillId="0" borderId="0" xfId="0" applyNumberFormat="1" applyFont="1" applyFill="1" applyBorder="1" applyAlignment="1">
      <x:alignment horizontal="right" vertical="center"/>
    </x:xf>
    <x:xf numFmtId="205" fontId="6" fillId="6" borderId="1" xfId="0" applyNumberFormat="1" applyFont="1" applyFill="1" applyBorder="1" applyAlignment="1">
      <x:alignment horizontal="right" vertical="center"/>
    </x:xf>
    <x:xf numFmtId="205" fontId="5" fillId="0" borderId="1" xfId="0" applyNumberFormat="1" applyFont="1" applyFill="1" applyBorder="1" applyAlignment="1">
      <x:alignment horizontal="right" vertical="center"/>
    </x:xf>
    <x:xf numFmtId="206" fontId="6" fillId="0" borderId="0" xfId="0" applyNumberFormat="1" applyFont="1" applyFill="1" applyBorder="1" applyAlignment="1">
      <x:alignment horizontal="right" vertical="center"/>
    </x:xf>
    <x:xf numFmtId="206" fontId="0" fillId="0" borderId="0" xfId="0" applyNumberFormat="1" applyFont="1" applyFill="1" applyBorder="1" applyAlignment="1">
      <x:alignment horizontal="right" vertical="center"/>
    </x:xf>
    <x:xf numFmtId="206" fontId="6" fillId="0" borderId="1" xfId="0" applyNumberFormat="1" applyFont="1" applyFill="1" applyBorder="1" applyAlignment="1">
      <x:alignment horizontal="right" vertical="center"/>
    </x:xf>
    <x:xf numFmtId="206" fontId="0" fillId="0" borderId="1" xfId="0" applyNumberFormat="1" applyFont="1" applyFill="1" applyBorder="1" applyAlignment="1">
      <x:alignment horizontal="right" vertical="center"/>
    </x:xf>
    <x:xf numFmtId="206" fontId="5" fillId="0" borderId="0" xfId="0" applyNumberFormat="1" applyFont="1" applyFill="1" applyBorder="1" applyAlignment="1">
      <x:alignment horizontal="right" vertical="center"/>
    </x:xf>
    <x:xf numFmtId="206" fontId="5" fillId="0" borderId="1" xfId="0" applyNumberFormat="1" applyFont="1" applyFill="1" applyBorder="1" applyAlignment="1">
      <x:alignment horizontal="right" vertical="center"/>
    </x:xf>
    <x:xf numFmtId="204" fontId="0" fillId="0" borderId="0" xfId="0" applyNumberFormat="1" applyFont="1" applyFill="1" applyBorder="1"/>
    <x:xf numFmtId="204" fontId="5" fillId="0" borderId="0" xfId="0" applyNumberFormat="1" applyFont="1" applyFill="1" applyBorder="1"/>
    <x:xf numFmtId="204" fontId="7" fillId="0" borderId="0" xfId="0" applyNumberFormat="1" applyFont="1" applyFill="1" applyBorder="1"/>
    <x:xf numFmtId="204" fontId="6" fillId="0" borderId="0" xfId="0" applyNumberFormat="1" applyFont="1" applyFill="1" applyBorder="1"/>
    <x:xf numFmtId="204" fontId="0" fillId="0" borderId="1" xfId="0" applyNumberFormat="1" applyFont="1" applyFill="1" applyBorder="1"/>
    <x:xf numFmtId="204" fontId="5" fillId="0" borderId="1" xfId="0" applyNumberFormat="1" applyFont="1" applyFill="1" applyBorder="1"/>
    <x:xf numFmtId="204" fontId="7" fillId="0" borderId="1" xfId="0" applyNumberFormat="1" applyFont="1" applyFill="1" applyBorder="1"/>
    <x:xf numFmtId="204" fontId="6" fillId="0" borderId="1" xfId="0" applyNumberFormat="1" applyFont="1" applyFill="1" applyBorder="1"/>
    <x:xf numFmtId="207" fontId="10" fillId="7" borderId="0" xfId="0" applyNumberFormat="1" applyFont="1" applyFill="1" applyBorder="1" applyAlignment="1">
      <x:alignment horizontal="right" vertical="center"/>
    </x:xf>
    <x:xf numFmtId="207" fontId="8" fillId="7" borderId="0" xfId="0" applyNumberFormat="1" applyFont="1" applyFill="1" applyBorder="1" applyAlignment="1">
      <x:alignment horizontal="right" vertical="center"/>
    </x:xf>
    <x:xf numFmtId="207" fontId="10" fillId="7" borderId="1" xfId="0" applyNumberFormat="1" applyFont="1" applyFill="1" applyBorder="1" applyAlignment="1">
      <x:alignment horizontal="right" vertical="center"/>
    </x:xf>
    <x:xf numFmtId="207" fontId="8" fillId="7" borderId="1" xfId="0" applyNumberFormat="1" applyFont="1" applyFill="1" applyBorder="1" applyAlignment="1">
      <x:alignment horizontal="right" vertical="center"/>
    </x:xf>
    <x:xf numFmtId="207" fontId="12" fillId="7" borderId="0" xfId="0" applyNumberFormat="1" applyFont="1" applyFill="1" applyBorder="1" applyAlignment="1">
      <x:alignment horizontal="right" vertical="center"/>
    </x:xf>
    <x:xf numFmtId="207" fontId="12" fillId="7" borderId="1" xfId="0" applyNumberFormat="1" applyFont="1" applyFill="1" applyBorder="1" applyAlignment="1">
      <x:alignment horizontal="right" vertical="center"/>
    </x:xf>
    <x:xf numFmtId="0" fontId="0" fillId="0" borderId="0" xfId="0" applyNumberFormat="1" applyFont="1" applyFill="1" applyBorder="1"/>
    <x:xf numFmtId="208" fontId="0" fillId="0" borderId="0" xfId="0" applyNumberFormat="1" applyFont="1" applyFill="1" applyBorder="1"/>
    <x:xf numFmtId="208" fontId="0" fillId="0" borderId="0" xfId="0" applyNumberFormat="1" applyFont="1" applyFill="1" applyBorder="1" applyAlignment="1">
      <x:alignment horizontal="right"/>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vertical="center"/>
    </x:xf>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right"/>
    </x:xf>
    <x:xf numFmtId="0" fontId="3" fillId="10" borderId="0" xfId="0" applyNumberFormat="1" applyFont="1" applyFill="1" applyBorder="1" applyAlignment="1">
      <x:alignment horizontal="left"/>
    </x:xf>
    <x:xf numFmtId="208" fontId="0" fillId="10" borderId="0" xfId="0" applyNumberFormat="1" applyFont="1" applyFill="1" applyBorder="1" applyAlignment="1">
      <x:alignment horizontal="right"/>
    </x:xf>
    <x:xf numFmtId="208" fontId="3" fillId="10" borderId="0" xfId="0" applyNumberFormat="1" applyFont="1" applyFill="1" applyBorder="1" applyAlignment="1">
      <x:alignment horizontal="right"/>
    </x:xf>
    <x:xf numFmtId="208" fontId="3" fillId="10" borderId="0" xfId="0" applyNumberFormat="1" applyFont="1" applyFill="1" applyBorder="1" applyAlignment="1">
      <x:alignment horizontal="left"/>
    </x:xf>
    <x:xf numFmtId="208" fontId="6" fillId="0" borderId="0" xfId="0" applyNumberFormat="1" applyFont="1" applyFill="1" applyBorder="1" applyAlignment="1">
      <x:alignment horizontal="right"/>
    </x:xf>
    <x:xf numFmtId="209" fontId="6" fillId="0" borderId="0" xfId="0" applyNumberFormat="1" applyFont="1" applyFill="1" applyBorder="1" applyAlignment="1">
      <x:alignment horizontal="right"/>
    </x:xf>
    <x:xf numFmtId="210" fontId="6" fillId="0" borderId="0" xfId="0" applyNumberFormat="1" applyFont="1" applyFill="1" applyBorder="1" applyAlignment="1">
      <x:alignment horizontal="right"/>
    </x:xf>
    <x:xf numFmtId="209" fontId="6" fillId="9" borderId="0" xfId="0" applyNumberFormat="1" applyFont="1" applyFill="1" applyBorder="1" applyAlignment="1">
      <x:alignment horizontal="right"/>
    </x:xf>
    <x:xf numFmtId="208" fontId="6" fillId="9" borderId="0" xfId="0" applyNumberFormat="1" applyFont="1" applyFill="1" applyBorder="1" applyAlignment="1">
      <x:alignment horizontal="right"/>
    </x:xf>
    <x:xf numFmtId="210" fontId="6" fillId="9" borderId="0" xfId="0" applyNumberFormat="1" applyFont="1" applyFill="1" applyBorder="1" applyAlignment="1">
      <x:alignment horizontal="right"/>
    </x:xf>
    <x:xf numFmtId="210" fontId="6" fillId="11" borderId="0" xfId="0" applyNumberFormat="1" applyFont="1" applyFill="1" applyBorder="1" applyAlignment="1">
      <x:alignment horizontal="right"/>
    </x:xf>
    <x:xf numFmtId="211" fontId="6" fillId="0" borderId="0" xfId="0" applyNumberFormat="1" applyFont="1" applyFill="1" applyBorder="1" applyAlignment="1">
      <x:alignment horizontal="right"/>
    </x:xf>
    <x:xf numFmtId="211" fontId="6" fillId="11" borderId="0" xfId="0" applyNumberFormat="1" applyFont="1" applyFill="1" applyBorder="1" applyAlignment="1">
      <x:alignment horizontal="right"/>
    </x:xf>
    <x:xf numFmtId="208" fontId="6" fillId="11" borderId="0" xfId="0" applyNumberFormat="1" applyFont="1" applyFill="1" applyBorder="1" applyAlignment="1">
      <x:alignment horizontal="right"/>
    </x:xf>
    <x:xf numFmtId="208" fontId="7" fillId="0" borderId="0" xfId="0" applyNumberFormat="1" applyFont="1" applyFill="1" applyBorder="1" applyAlignment="1">
      <x:alignment horizontal="right"/>
    </x:xf>
    <x:xf numFmtId="210" fontId="7" fillId="0" borderId="0" xfId="0" applyNumberFormat="1" applyFont="1" applyFill="1" applyBorder="1" applyAlignment="1">
      <x:alignment horizontal="right"/>
    </x:xf>
    <x:xf numFmtId="210" fontId="7" fillId="9" borderId="0" xfId="0" applyNumberFormat="1" applyFont="1" applyFill="1" applyBorder="1" applyAlignment="1">
      <x:alignment horizontal="right"/>
    </x:xf>
    <x:xf numFmtId="208" fontId="0" fillId="9" borderId="0" xfId="0" applyNumberFormat="1" applyFont="1" applyFill="1" applyBorder="1" applyAlignment="1">
      <x:alignment horizontal="right"/>
    </x:xf>
    <x:xf numFmtId="0" fontId="8" fillId="9" borderId="0" xfId="0" applyNumberFormat="1" applyFont="1" applyFill="1" applyBorder="1"/>
    <x:xf numFmtId="210" fontId="10" fillId="9" borderId="0" xfId="0" applyNumberFormat="1" applyFont="1" applyFill="1" applyBorder="1" applyAlignment="1">
      <x:alignment horizontal="right"/>
    </x:xf>
    <x:xf numFmtId="208" fontId="8" fillId="9" borderId="0" xfId="0" applyNumberFormat="1" applyFont="1" applyFill="1" applyBorder="1" applyAlignment="1">
      <x:alignment horizontal="right"/>
    </x:xf>
    <x:xf numFmtId="0" fontId="8" fillId="9" xfId="0" applyNumberFormat="1" applyFont="1" applyFill="1" applyBorder="0"/>
    <x:xf numFmtId="210" fontId="10" fillId="9" xfId="0" applyNumberFormat="1" applyFont="1" applyFill="1" applyBorder="0" applyAlignment="1">
      <x:alignment horizontal="right"/>
    </x:xf>
    <x:xf numFmtId="208" fontId="8" fillId="9" xfId="0" applyNumberFormat="1" applyFont="1" applyFill="1" applyBorder="0" applyAlignment="1">
      <x:alignment horizontal="right"/>
    </x:xf>
    <x:xf numFmtId="208" fontId="5" fillId="0" borderId="0" xfId="0" applyNumberFormat="1" applyFont="1" applyFill="1" applyBorder="1" applyAlignment="1">
      <x:alignment horizontal="right"/>
    </x:xf>
    <x:xf numFmtId="0" fontId="0" fillId="12" borderId="0" xfId="0" applyNumberFormat="1" applyFont="1" applyFill="1" applyBorder="1"/>
    <x:xf numFmtId="208" fontId="0" fillId="12" borderId="0" xfId="0" applyNumberFormat="1" applyFont="1" applyFill="1" applyBorder="1" applyAlignment="1">
      <x:alignment horizontal="right"/>
    </x:xf>
    <x:xf numFmtId="0" fontId="11" fillId="12" borderId="0" xfId="0" applyNumberFormat="1" applyFont="1" applyFill="1" applyBorder="1"/>
    <x:xf numFmtId="208" fontId="11" fillId="12" borderId="0" xfId="0" applyNumberFormat="1" applyFont="1" applyFill="1" applyBorder="1" applyAlignment="1">
      <x:alignment horizontal="right"/>
    </x:xf>
    <x:xf numFmtId="0" fontId="11" fillId="12" borderId="0" xfId="0" applyNumberFormat="1" applyFont="1" applyFill="1" applyBorder="1" applyAlignment="1">
      <x:alignment wrapText="1"/>
    </x:xf>
    <x:xf numFmtId="208" fontId="11" fillId="12" borderId="0" xfId="0" applyNumberFormat="1" applyFont="1" applyFill="1" applyBorder="1" applyAlignment="1">
      <x:alignment horizontal="right" wrapText="1"/>
    </x:xf>
    <x:xf numFmtId="210" fontId="5" fillId="0" borderId="0" xfId="0" applyNumberFormat="1" applyFont="1" applyFill="1" applyBorder="1" applyAlignment="1">
      <x:alignment horizontal="right"/>
    </x:xf>
    <x:xf numFmtId="211" fontId="5" fillId="0" borderId="0" xfId="0" applyNumberFormat="1" applyFont="1" applyFill="1" applyBorder="1" applyAlignment="1">
      <x:alignment horizontal="right"/>
    </x:xf>
    <x:xf numFmtId="212" fontId="7" fillId="0" borderId="0" xfId="0" applyNumberFormat="1" applyFont="1" applyFill="1" applyBorder="1" applyAlignment="1">
      <x:alignment horizontal="right"/>
    </x:xf>
    <x:xf numFmtId="0" fontId="0" fillId="13" borderId="0" xfId="0" applyNumberFormat="1" applyFont="1" applyFill="1" applyBorder="1"/>
    <x:xf numFmtId="210" fontId="7" fillId="13" borderId="0" xfId="0" applyNumberFormat="1" applyFont="1" applyFill="1" applyBorder="1" applyAlignment="1">
      <x:alignment horizontal="right"/>
    </x:xf>
    <x:xf numFmtId="208" fontId="0" fillId="13" borderId="0" xfId="0" applyNumberFormat="1" applyFont="1" applyFill="1" applyBorder="1" applyAlignment="1">
      <x:alignment horizontal="right"/>
    </x:xf>
    <x:xf numFmtId="0" fontId="8" fillId="13" borderId="0" xfId="0" applyNumberFormat="1" applyFont="1" applyFill="1" applyBorder="1"/>
    <x:xf numFmtId="210" fontId="10" fillId="13" borderId="0" xfId="0" applyNumberFormat="1" applyFont="1" applyFill="1" applyBorder="1" applyAlignment="1">
      <x:alignment horizontal="right"/>
    </x:xf>
    <x:xf numFmtId="208" fontId="8" fillId="13" borderId="0" xfId="0" applyNumberFormat="1" applyFont="1" applyFill="1" applyBorder="1" applyAlignment="1">
      <x:alignment horizontal="right"/>
    </x:xf>
    <x:xf numFmtId="0" fontId="8" fillId="13" xfId="0" applyNumberFormat="1" applyFont="1" applyFill="1" applyBorder="0"/>
    <x:xf numFmtId="210" fontId="10" fillId="13" xfId="0" applyNumberFormat="1" applyFont="1" applyFill="1" applyBorder="0" applyAlignment="1">
      <x:alignment horizontal="right"/>
    </x:xf>
    <x:xf numFmtId="208" fontId="8" fillId="13" xfId="0" applyNumberFormat="1" applyFont="1" applyFill="1" applyBorder="0" applyAlignment="1">
      <x:alignment horizontal="right"/>
    </x:xf>
    <x:xf numFmtId="208" fontId="0" fillId="0" borderId="0" xfId="0" applyNumberFormat="1" applyFont="1" applyFill="1" applyBorder="1" applyAlignment="1">
      <x:alignment horizontal="right" wrapText="1"/>
    </x:xf>
    <x:xf numFmtId="211" fontId="7" fillId="0" borderId="0" xfId="0" applyNumberFormat="1" applyFont="1" applyFill="1" applyBorder="1" applyAlignment="1">
      <x:alignment horizontal="right"/>
    </x:xf>
    <x:xf numFmtId="211" fontId="7" fillId="9" borderId="0" xfId="0" applyNumberFormat="1" applyFont="1" applyFill="1" applyBorder="1" applyAlignment="1">
      <x:alignment horizontal="right"/>
    </x:xf>
    <x:xf numFmtId="211" fontId="10" fillId="9" borderId="0" xfId="0" applyNumberFormat="1" applyFont="1" applyFill="1" applyBorder="1" applyAlignment="1">
      <x:alignment horizontal="right"/>
    </x:xf>
    <x:xf numFmtId="211" fontId="10" fillId="9" xfId="0" applyNumberFormat="1" applyFont="1" applyFill="1" applyBorder="0" applyAlignment="1">
      <x:alignment horizontal="right"/>
    </x:xf>
    <x:xf numFmtId="208" fontId="7" fillId="13" borderId="0" xfId="0" applyNumberFormat="1" applyFont="1" applyFill="1" applyBorder="1" applyAlignment="1">
      <x:alignment horizontal="right"/>
    </x:xf>
    <x:xf numFmtId="208" fontId="10" fillId="13" borderId="0" xfId="0" applyNumberFormat="1" applyFont="1" applyFill="1" applyBorder="1" applyAlignment="1">
      <x:alignment horizontal="right"/>
    </x:xf>
    <x:xf numFmtId="208" fontId="10" fillId="13" xfId="0" applyNumberFormat="1" applyFont="1" applyFill="1" applyBorder="0" applyAlignment="1">
      <x:alignment horizontal="right"/>
    </x:xf>
    <x:xf numFmtId="208" fontId="7" fillId="9" borderId="0" xfId="0" applyNumberFormat="1" applyFont="1" applyFill="1" applyBorder="1" applyAlignment="1">
      <x:alignment horizontal="right"/>
    </x:xf>
    <x:xf numFmtId="208" fontId="10" fillId="9" borderId="0" xfId="0" applyNumberFormat="1" applyFont="1" applyFill="1" applyBorder="1" applyAlignment="1">
      <x:alignment horizontal="right"/>
    </x:xf>
    <x:xf numFmtId="208" fontId="10" fillId="9" xfId="0" applyNumberFormat="1" applyFont="1" applyFill="1" applyBorder="0" applyAlignment="1">
      <x:alignment horizontal="right"/>
    </x:xf>
    <x:xf numFmtId="209" fontId="7" fillId="0" borderId="0" xfId="0" applyNumberFormat="1" applyFont="1" applyFill="1" applyBorder="1" applyAlignment="1">
      <x:alignment horizontal="right"/>
    </x:xf>
    <x:xf numFmtId="209" fontId="7" fillId="13" borderId="0" xfId="0" applyNumberFormat="1" applyFont="1" applyFill="1" applyBorder="1" applyAlignment="1">
      <x:alignment horizontal="right"/>
    </x:xf>
    <x:xf numFmtId="209" fontId="10" fillId="13" borderId="0" xfId="0" applyNumberFormat="1" applyFont="1" applyFill="1" applyBorder="1" applyAlignment="1">
      <x:alignment horizontal="right"/>
    </x:xf>
    <x:xf numFmtId="209" fontId="10" fillId="13" xfId="0" applyNumberFormat="1" applyFont="1" applyFill="1" applyBorder="0" applyAlignment="1">
      <x:alignment horizontal="right"/>
    </x:xf>
    <x:xf numFmtId="209" fontId="5" fillId="0" borderId="0" xfId="0" applyNumberFormat="1" applyFont="1" applyFill="1" applyBorder="1" applyAlignment="1">
      <x:alignment horizontal="right"/>
    </x:xf>
    <x:xf numFmtId="213" fontId="7" fillId="0" borderId="0" xfId="0" applyNumberFormat="1" applyFont="1" applyFill="1" applyBorder="1" applyAlignment="1">
      <x:alignment horizontal="right"/>
    </x:xf>
    <x:xf numFmtId="213" fontId="5" fillId="0" borderId="0" xfId="0" applyNumberFormat="1" applyFont="1" applyFill="1" applyBorder="1" applyAlignment="1">
      <x:alignment horizontal="right"/>
    </x:xf>
    <x:xf numFmtId="211" fontId="7" fillId="13" borderId="0" xfId="0" applyNumberFormat="1" applyFont="1" applyFill="1" applyBorder="1" applyAlignment="1">
      <x:alignment horizontal="right"/>
    </x:xf>
    <x:xf numFmtId="211" fontId="10" fillId="13" borderId="0" xfId="0" applyNumberFormat="1" applyFont="1" applyFill="1" applyBorder="1" applyAlignment="1">
      <x:alignment horizontal="right"/>
    </x:xf>
    <x:xf numFmtId="211" fontId="10" fillId="13" xfId="0" applyNumberFormat="1" applyFont="1" applyFill="1" applyBorder="0" applyAlignment="1">
      <x:alignment horizontal="right"/>
    </x:xf>
    <x:xf numFmtId="209" fontId="7" fillId="9" borderId="0" xfId="0" applyNumberFormat="1" applyFont="1" applyFill="1" applyBorder="1" applyAlignment="1">
      <x:alignment horizontal="right"/>
    </x:xf>
    <x:xf numFmtId="209" fontId="10" fillId="9" borderId="0" xfId="0" applyNumberFormat="1" applyFont="1" applyFill="1" applyBorder="1" applyAlignment="1">
      <x:alignment horizontal="right"/>
    </x:xf>
    <x:xf numFmtId="209" fontId="10" fillId="9" xfId="0" applyNumberFormat="1" applyFont="1" applyFill="1" applyBorder="0" applyAlignment="1">
      <x:alignment horizontal="right"/>
    </x:xf>
    <x:xf numFmtId="210" fontId="5" fillId="13" borderId="0" xfId="0" applyNumberFormat="1" applyFont="1" applyFill="1" applyBorder="1" applyAlignment="1">
      <x:alignment horizontal="right"/>
    </x:xf>
    <x:xf numFmtId="210" fontId="5" fillId="0" borderId="0" xfId="0" applyNumberFormat="1" applyFont="1" applyFill="1" applyBorder="1"/>
    <x:xf numFmtId="210" fontId="5" fillId="13" borderId="0" xfId="0" applyNumberFormat="1" applyFont="1" applyFill="1" applyBorder="1"/>
    <x:xf numFmtId="209" fontId="5" fillId="0" borderId="0" xfId="0" applyNumberFormat="1" applyFont="1" applyFill="1" applyBorder="1"/>
    <x:xf numFmtId="209" fontId="5" fillId="14" borderId="0" xfId="0" applyNumberFormat="1" applyFont="1" applyFill="1" applyBorder="1" applyAlignment="1">
      <x:alignment horizontal="right"/>
    </x:xf>
    <x:xf numFmtId="209" fontId="12" fillId="14" borderId="0" xfId="0" applyNumberFormat="1" applyFont="1" applyFill="1" applyBorder="1" applyAlignment="1">
      <x:alignment horizontal="right"/>
    </x:xf>
    <x:xf numFmtId="211" fontId="5" fillId="13" borderId="0" xfId="0" applyNumberFormat="1" applyFont="1" applyFill="1" applyBorder="1" applyAlignment="1">
      <x:alignment horizontal="right"/>
    </x:xf>
    <x:xf numFmtId="211" fontId="5" fillId="0" borderId="0" xfId="0" applyNumberFormat="1" applyFont="1" applyFill="1" applyBorder="1"/>
    <x:xf numFmtId="211" fontId="5" fillId="13" borderId="0" xfId="0" applyNumberFormat="1" applyFont="1" applyFill="1" applyBorder="1"/>
    <x:xf numFmtId="0" fontId="0" fillId="13" borderId="0" xfId="0" applyNumberFormat="1" applyFont="1" applyFill="1" applyBorder="1" applyAlignment="1">
      <x:alignment vertical="center"/>
    </x:xf>
    <x:xf numFmtId="200" fontId="0" fillId="13" borderId="0" xfId="0" applyNumberFormat="1" applyFont="1" applyFill="1" applyBorder="1" applyAlignment="1">
      <x:alignment vertical="center"/>
    </x:xf>
    <x:xf numFmtId="0" fontId="14" fillId="13" borderId="0" xfId="0" applyNumberFormat="1" applyFont="1" applyFill="1" applyBorder="1" applyAlignment="1">
      <x:alignment vertical="center"/>
    </x:xf>
    <x:xf numFmtId="200" fontId="14" fillId="13" borderId="0" xfId="0" applyNumberFormat="1" applyFont="1" applyFill="1" applyBorder="1" applyAlignment="1">
      <x:alignment vertical="center"/>
    </x:xf>
    <x:xf numFmtId="0" fontId="14" fillId="13" borderId="0" xfId="0" applyNumberFormat="1" applyFont="1" applyFill="1" applyBorder="1" applyAlignment="1">
      <x:alignment vertical="center" wrapText="1"/>
    </x:xf>
    <x:xf numFmtId="200" fontId="14" fillId="13" borderId="0" xfId="0" applyNumberFormat="1" applyFont="1" applyFill="1" applyBorder="1" applyAlignment="1">
      <x:alignment vertical="center" wrapText="1"/>
    </x:xf>
    <x:xf numFmtId="0" fontId="0" fillId="12" borderId="0" xfId="0" applyNumberFormat="1" applyFont="1" applyFill="1" applyBorder="1" applyAlignment="1">
      <x:alignment vertical="center"/>
    </x:xf>
    <x:xf numFmtId="200" fontId="0" fillId="12" borderId="0" xfId="0" applyNumberFormat="1" applyFont="1" applyFill="1" applyBorder="1" applyAlignment="1">
      <x:alignment vertical="center"/>
    </x:xf>
    <x:xf numFmtId="0" fontId="13" fillId="12" borderId="0" xfId="0" applyNumberFormat="1" applyFont="1" applyFill="1" applyBorder="1" applyAlignment="1">
      <x:alignment vertical="center"/>
    </x:xf>
    <x:xf numFmtId="200" fontId="13" fillId="12" borderId="0" xfId="0" applyNumberFormat="1" applyFont="1" applyFill="1" applyBorder="1" applyAlignment="1">
      <x:alignment vertical="center"/>
    </x:xf>
    <x:xf numFmtId="0" fontId="13" fillId="12" borderId="0" xfId="0" applyNumberFormat="1" applyFont="1" applyFill="1" applyBorder="1" applyAlignment="1">
      <x:alignment vertical="center" wrapText="1"/>
    </x:xf>
    <x:xf numFmtId="200" fontId="13" fillId="12" borderId="0" xfId="0" applyNumberFormat="1" applyFont="1" applyFill="1" applyBorder="1" applyAlignment="1">
      <x:alignment vertical="center" wrapText="1"/>
    </x:xf>
    <x:xf numFmtId="209" fontId="5" fillId="0" borderId="0" xfId="0" applyNumberFormat="1" applyFont="1" applyFill="1" applyBorder="1" applyAlignment="1">
      <x:alignment vertical="center"/>
    </x:xf>
    <x:xf numFmtId="209" fontId="5" fillId="12" borderId="0" xfId="0" applyNumberFormat="1" applyFont="1" applyFill="1" applyBorder="1" applyAlignment="1">
      <x:alignment vertical="center"/>
    </x:xf>
    <x:xf numFmtId="0" fontId="0" fillId="9" borderId="0" xfId="0" applyNumberFormat="1" applyFont="1" applyFill="1" applyBorder="1" applyAlignment="1">
      <x:alignment vertical="center"/>
    </x:xf>
    <x:xf numFmtId="200" fontId="0" fillId="9" borderId="0" xfId="0" applyNumberFormat="1" applyFont="1" applyFill="1" applyBorder="1" applyAlignment="1">
      <x:alignment vertical="center"/>
    </x:xf>
    <x:xf numFmtId="209" fontId="5" fillId="9" borderId="0" xfId="0" applyNumberFormat="1" applyFont="1" applyFill="1" applyBorder="1" applyAlignment="1">
      <x:alignment vertical="center"/>
    </x:xf>
    <x:xf numFmtId="208" fontId="0" fillId="4" borderId="0" xfId="0" applyNumberFormat="1" applyFont="1" applyFill="1" applyBorder="1" applyAlignment="1">
      <x:alignment horizontal="right"/>
    </x:xf>
    <x:xf numFmtId="208" fontId="3" fillId="4" borderId="0" xfId="0" applyNumberFormat="1" applyFont="1" applyFill="1" applyBorder="1" applyAlignment="1">
      <x:alignment horizontal="right"/>
    </x:xf>
    <x:xf numFmtId="208" fontId="3" fillId="4" borderId="0" xfId="0" applyNumberFormat="1" applyFont="1" applyFill="1" applyBorder="1" applyAlignment="1">
      <x:alignment horizontal="left"/>
    </x:xf>
    <x:xf numFmtId="209" fontId="6" fillId="3" borderId="0" xfId="0" applyNumberFormat="1" applyFont="1" applyFill="1" applyBorder="1" applyAlignment="1">
      <x:alignment horizontal="right"/>
    </x:xf>
    <x:xf numFmtId="208" fontId="6" fillId="3" borderId="0" xfId="0" applyNumberFormat="1" applyFont="1" applyFill="1" applyBorder="1" applyAlignment="1">
      <x:alignment horizontal="right"/>
    </x:xf>
    <x:xf numFmtId="210" fontId="6" fillId="3" borderId="0" xfId="0" applyNumberFormat="1" applyFont="1" applyFill="1" applyBorder="1" applyAlignment="1">
      <x:alignment horizontal="right"/>
    </x:xf>
    <x:xf numFmtId="210" fontId="6" fillId="6" borderId="0" xfId="0" applyNumberFormat="1" applyFont="1" applyFill="1" applyBorder="1" applyAlignment="1">
      <x:alignment horizontal="right"/>
    </x:xf>
    <x:xf numFmtId="211" fontId="6" fillId="6" borderId="0" xfId="0" applyNumberFormat="1" applyFont="1" applyFill="1" applyBorder="1" applyAlignment="1">
      <x:alignment horizontal="right"/>
    </x:xf>
    <x:xf numFmtId="208" fontId="6" fillId="6" borderId="0" xfId="0" applyNumberFormat="1" applyFont="1" applyFill="1" applyBorder="1" applyAlignment="1">
      <x:alignment horizontal="right"/>
    </x:xf>
    <x:xf numFmtId="210" fontId="7" fillId="3" borderId="0" xfId="0" applyNumberFormat="1" applyFont="1" applyFill="1" applyBorder="1" applyAlignment="1">
      <x:alignment horizontal="right"/>
    </x:xf>
    <x:xf numFmtId="208" fontId="0" fillId="3" borderId="0" xfId="0" applyNumberFormat="1" applyFont="1" applyFill="1" applyBorder="1" applyAlignment="1">
      <x:alignment horizontal="right"/>
    </x:xf>
    <x:xf numFmtId="0" fontId="8" fillId="3" borderId="0" xfId="0" applyNumberFormat="1" applyFont="1" applyFill="1" applyBorder="1"/>
    <x:xf numFmtId="210" fontId="10" fillId="3" borderId="0" xfId="0" applyNumberFormat="1" applyFont="1" applyFill="1" applyBorder="1" applyAlignment="1">
      <x:alignment horizontal="right"/>
    </x:xf>
    <x:xf numFmtId="208" fontId="8" fillId="3" borderId="0" xfId="0" applyNumberFormat="1" applyFont="1" applyFill="1" applyBorder="1" applyAlignment="1">
      <x:alignment horizontal="right"/>
    </x:xf>
    <x:xf numFmtId="0" fontId="8" fillId="3" xfId="0" applyNumberFormat="1" applyFont="1" applyFill="1" applyBorder="0"/>
    <x:xf numFmtId="210" fontId="10" fillId="3" xfId="0" applyNumberFormat="1" applyFont="1" applyFill="1" applyBorder="0" applyAlignment="1">
      <x:alignment horizontal="right"/>
    </x:xf>
    <x:xf numFmtId="208" fontId="8" fillId="3" xfId="0" applyNumberFormat="1" applyFont="1" applyFill="1" applyBorder="0" applyAlignment="1">
      <x:alignment horizontal="right"/>
    </x:xf>
    <x:xf numFmtId="0" fontId="0" fillId="5" borderId="0" xfId="0" applyNumberFormat="1" applyFont="1" applyFill="1" applyBorder="1"/>
    <x:xf numFmtId="208" fontId="0" fillId="5" borderId="0" xfId="0" applyNumberFormat="1" applyFont="1" applyFill="1" applyBorder="1" applyAlignment="1">
      <x:alignment horizontal="right"/>
    </x:xf>
    <x:xf numFmtId="0" fontId="11" fillId="5" borderId="0" xfId="0" applyNumberFormat="1" applyFont="1" applyFill="1" applyBorder="1"/>
    <x:xf numFmtId="208" fontId="11" fillId="5" borderId="0" xfId="0" applyNumberFormat="1" applyFont="1" applyFill="1" applyBorder="1" applyAlignment="1">
      <x:alignment horizontal="right"/>
    </x:xf>
    <x:xf numFmtId="0" fontId="11" fillId="5" borderId="0" xfId="0" applyNumberFormat="1" applyFont="1" applyFill="1" applyBorder="1" applyAlignment="1">
      <x:alignment wrapText="1"/>
    </x:xf>
    <x:xf numFmtId="208" fontId="11" fillId="5" borderId="0" xfId="0" applyNumberFormat="1" applyFont="1" applyFill="1" applyBorder="1" applyAlignment="1">
      <x:alignment horizontal="right" wrapText="1"/>
    </x:xf>
    <x:xf numFmtId="0" fontId="0" fillId="7" borderId="0" xfId="0" applyNumberFormat="1" applyFont="1" applyFill="1" applyBorder="1"/>
    <x:xf numFmtId="210" fontId="7" fillId="7" borderId="0" xfId="0" applyNumberFormat="1" applyFont="1" applyFill="1" applyBorder="1" applyAlignment="1">
      <x:alignment horizontal="right"/>
    </x:xf>
    <x:xf numFmtId="208" fontId="0" fillId="7" borderId="0" xfId="0" applyNumberFormat="1" applyFont="1" applyFill="1" applyBorder="1" applyAlignment="1">
      <x:alignment horizontal="right"/>
    </x:xf>
    <x:xf numFmtId="0" fontId="8" fillId="7" borderId="0" xfId="0" applyNumberFormat="1" applyFont="1" applyFill="1" applyBorder="1"/>
    <x:xf numFmtId="210" fontId="10" fillId="7" borderId="0" xfId="0" applyNumberFormat="1" applyFont="1" applyFill="1" applyBorder="1" applyAlignment="1">
      <x:alignment horizontal="right"/>
    </x:xf>
    <x:xf numFmtId="208" fontId="8" fillId="7" borderId="0" xfId="0" applyNumberFormat="1" applyFont="1" applyFill="1" applyBorder="1" applyAlignment="1">
      <x:alignment horizontal="right"/>
    </x:xf>
    <x:xf numFmtId="0" fontId="8" fillId="7" xfId="0" applyNumberFormat="1" applyFont="1" applyFill="1" applyBorder="0"/>
    <x:xf numFmtId="210" fontId="10" fillId="7" xfId="0" applyNumberFormat="1" applyFont="1" applyFill="1" applyBorder="0" applyAlignment="1">
      <x:alignment horizontal="right"/>
    </x:xf>
    <x:xf numFmtId="208" fontId="8" fillId="7" xfId="0" applyNumberFormat="1" applyFont="1" applyFill="1" applyBorder="0" applyAlignment="1">
      <x:alignment horizontal="right"/>
    </x:xf>
    <x:xf numFmtId="211" fontId="7" fillId="3" borderId="0" xfId="0" applyNumberFormat="1" applyFont="1" applyFill="1" applyBorder="1" applyAlignment="1">
      <x:alignment horizontal="right"/>
    </x:xf>
    <x:xf numFmtId="211" fontId="10" fillId="3" borderId="0" xfId="0" applyNumberFormat="1" applyFont="1" applyFill="1" applyBorder="1" applyAlignment="1">
      <x:alignment horizontal="right"/>
    </x:xf>
    <x:xf numFmtId="211" fontId="10" fillId="3" xfId="0" applyNumberFormat="1" applyFont="1" applyFill="1" applyBorder="0" applyAlignment="1">
      <x:alignment horizontal="right"/>
    </x:xf>
    <x:xf numFmtId="208" fontId="7" fillId="7" borderId="0" xfId="0" applyNumberFormat="1" applyFont="1" applyFill="1" applyBorder="1" applyAlignment="1">
      <x:alignment horizontal="right"/>
    </x:xf>
    <x:xf numFmtId="208" fontId="10" fillId="7" borderId="0" xfId="0" applyNumberFormat="1" applyFont="1" applyFill="1" applyBorder="1" applyAlignment="1">
      <x:alignment horizontal="right"/>
    </x:xf>
    <x:xf numFmtId="208" fontId="10" fillId="7" xfId="0" applyNumberFormat="1" applyFont="1" applyFill="1" applyBorder="0" applyAlignment="1">
      <x:alignment horizontal="right"/>
    </x:xf>
    <x:xf numFmtId="208" fontId="7" fillId="3" borderId="0" xfId="0" applyNumberFormat="1" applyFont="1" applyFill="1" applyBorder="1" applyAlignment="1">
      <x:alignment horizontal="right"/>
    </x:xf>
    <x:xf numFmtId="208" fontId="10" fillId="3" borderId="0" xfId="0" applyNumberFormat="1" applyFont="1" applyFill="1" applyBorder="1" applyAlignment="1">
      <x:alignment horizontal="right"/>
    </x:xf>
    <x:xf numFmtId="208" fontId="10" fillId="3" xfId="0" applyNumberFormat="1" applyFont="1" applyFill="1" applyBorder="0" applyAlignment="1">
      <x:alignment horizontal="right"/>
    </x:xf>
    <x:xf numFmtId="209" fontId="7" fillId="7" borderId="0" xfId="0" applyNumberFormat="1" applyFont="1" applyFill="1" applyBorder="1" applyAlignment="1">
      <x:alignment horizontal="right"/>
    </x:xf>
    <x:xf numFmtId="209" fontId="10" fillId="7" borderId="0" xfId="0" applyNumberFormat="1" applyFont="1" applyFill="1" applyBorder="1" applyAlignment="1">
      <x:alignment horizontal="right"/>
    </x:xf>
    <x:xf numFmtId="209" fontId="10" fillId="7" xfId="0" applyNumberFormat="1" applyFont="1" applyFill="1" applyBorder="0" applyAlignment="1">
      <x:alignment horizontal="right"/>
    </x:xf>
    <x:xf numFmtId="211" fontId="7" fillId="7" borderId="0" xfId="0" applyNumberFormat="1" applyFont="1" applyFill="1" applyBorder="1" applyAlignment="1">
      <x:alignment horizontal="right"/>
    </x:xf>
    <x:xf numFmtId="211" fontId="10" fillId="7" borderId="0" xfId="0" applyNumberFormat="1" applyFont="1" applyFill="1" applyBorder="1" applyAlignment="1">
      <x:alignment horizontal="right"/>
    </x:xf>
    <x:xf numFmtId="211" fontId="10" fillId="7" xfId="0" applyNumberFormat="1" applyFont="1" applyFill="1" applyBorder="0" applyAlignment="1">
      <x:alignment horizontal="right"/>
    </x:xf>
    <x:xf numFmtId="209" fontId="7" fillId="3" borderId="0" xfId="0" applyNumberFormat="1" applyFont="1" applyFill="1" applyBorder="1" applyAlignment="1">
      <x:alignment horizontal="right"/>
    </x:xf>
    <x:xf numFmtId="209" fontId="10" fillId="3" borderId="0" xfId="0" applyNumberFormat="1" applyFont="1" applyFill="1" applyBorder="1" applyAlignment="1">
      <x:alignment horizontal="right"/>
    </x:xf>
    <x:xf numFmtId="209" fontId="10" fillId="3" xfId="0" applyNumberFormat="1" applyFont="1" applyFill="1" applyBorder="0" applyAlignment="1">
      <x:alignment horizontal="right"/>
    </x:xf>
    <x:xf numFmtId="210" fontId="5" fillId="7" borderId="0" xfId="0" applyNumberFormat="1" applyFont="1" applyFill="1" applyBorder="1" applyAlignment="1">
      <x:alignment horizontal="right"/>
    </x:xf>
    <x:xf numFmtId="210" fontId="5" fillId="7" borderId="0" xfId="0" applyNumberFormat="1" applyFont="1" applyFill="1" applyBorder="1"/>
    <x:xf numFmtId="211" fontId="5" fillId="7" borderId="0" xfId="0" applyNumberFormat="1" applyFont="1" applyFill="1" applyBorder="1" applyAlignment="1">
      <x:alignment horizontal="right"/>
    </x:xf>
    <x:xf numFmtId="211" fontId="5" fillId="7" borderId="0" xfId="0" applyNumberFormat="1" applyFont="1" applyFill="1" applyBorder="1"/>
    <x:xf numFmtId="0" fontId="14" fillId="7" borderId="0" xfId="0" applyNumberFormat="1" applyFont="1" applyFill="1" applyBorder="1" applyAlignment="1">
      <x:alignment vertical="center"/>
    </x:xf>
    <x:xf numFmtId="200" fontId="14" fillId="7" borderId="0" xfId="0" applyNumberFormat="1" applyFont="1" applyFill="1" applyBorder="1" applyAlignment="1">
      <x:alignment vertical="center"/>
    </x:xf>
    <x:xf numFmtId="0" fontId="14" fillId="7" borderId="0" xfId="0" applyNumberFormat="1" applyFont="1" applyFill="1" applyBorder="1" applyAlignment="1">
      <x:alignment vertical="center" wrapText="1"/>
    </x:xf>
    <x:xf numFmtId="200" fontId="14" fillId="7" borderId="0" xfId="0" applyNumberFormat="1" applyFont="1" applyFill="1" applyBorder="1" applyAlignment="1">
      <x:alignment vertical="center" wrapText="1"/>
    </x:xf>
    <x:xf numFmtId="0" fontId="13" fillId="5" borderId="0" xfId="0" applyNumberFormat="1" applyFont="1" applyFill="1" applyBorder="1" applyAlignment="1">
      <x:alignment vertical="center"/>
    </x:xf>
    <x:xf numFmtId="200" fontId="13" fillId="5"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200" fontId="13" fillId="5" borderId="0" xfId="0" applyNumberFormat="1" applyFont="1" applyFill="1" applyBorder="1" applyAlignment="1">
      <x:alignment vertical="center" wrapText="1"/>
    </x:xf>
    <x:xf numFmtId="209" fontId="5" fillId="5" borderId="0" xfId="0" applyNumberFormat="1" applyFont="1" applyFill="1" applyBorder="1" applyAlignment="1">
      <x:alignment vertical="center"/>
    </x:xf>
    <x:xf numFmtId="209" fontId="5" fillId="3" borderId="0" xfId="0" applyNumberFormat="1" applyFont="1" applyFill="1" applyBorder="1" applyAlignment="1">
      <x:alignment vertic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vertical="center"/>
    </x:xf>
    <x:xf numFmtId="0" fontId="0" fillId="16" borderId="0" xfId="0" applyNumberFormat="1" applyFont="1" applyFill="1" applyBorder="1"/>
    <x:xf numFmtId="0" fontId="2" fillId="16" borderId="0" xfId="0" applyNumberFormat="1" applyFont="1" applyFill="1" applyBorder="1"/>
    <x:xf numFmtId="0" fontId="15" fillId="0" borderId="0" xfId="0" applyNumberFormat="1" applyFont="1" applyFill="1" applyBorder="1"/>
    <x:xf numFmtId="0" fontId="0" fillId="17" borderId="0" xfId="0" applyNumberFormat="1" applyFont="1" applyFill="1" applyBorder="1"/>
    <x:xf numFmtId="0" fontId="16" fillId="17" borderId="0" xfId="0" applyNumberFormat="1" applyFont="1" applyFill="1" applyBorder="1"/>
    <x:xf numFmtId="0" fontId="17" fillId="15" borderId="0" xfId="0" applyNumberFormat="1" applyFont="1" applyFill="1" applyBorder="1"/>
    <x:xf numFmtId="0" fontId="3" fillId="17" borderId="0" xfId="0" applyNumberFormat="1" applyFont="1" applyFill="1" applyBorder="1"/>
    <x:xf numFmtId="0" fontId="14" fillId="16" borderId="0" xfId="0" applyNumberFormat="1" applyFont="1" applyFill="1" applyBorder="1"/>
    <x:xf numFmtId="214" fontId="5" fillId="0" borderId="0" xfId="0" applyNumberFormat="1" applyFont="1" applyFill="1" applyBorder="1"/>
    <x:xf numFmtId="214" fontId="5" fillId="0" borderId="0" xfId="0" applyNumberFormat="1" applyFont="1" applyFill="1" applyBorder="1" applyAlignment="1">
      <x:alignment horizontal="right"/>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8" fillId="0" borderId="0" xfId="0" applyNumberFormat="1" applyFont="1" applyFill="1" applyBorder="1"/>
    <x:xf numFmtId="203" fontId="5" fillId="0" borderId="0" xfId="0" applyNumberFormat="1" applyFont="1" applyFill="1" applyBorder="1"/>
    <x:xf numFmtId="203" fontId="5" fillId="0" borderId="0" xfId="0" applyNumberFormat="1" applyFont="1" applyFill="1" applyBorder="1" applyAlignment="1">
      <x:alignment horizontal="right"/>
    </x:xf>
    <x:xf numFmtId="203" fontId="0" fillId="0" borderId="0" xfId="0" applyNumberFormat="1" applyFont="1" applyFill="1" applyBorder="1"/>
    <x:xf numFmtId="203" fontId="0" fillId="0" borderId="0" xfId="0" applyNumberFormat="1" applyFont="1" applyFill="1" applyBorder="1" applyAlignment="1">
      <x:alignment horizontal="right"/>
    </x:xf>
    <x:xf numFmtId="202" fontId="5" fillId="0" borderId="0" xfId="0" applyNumberFormat="1" applyFont="1" applyFill="1" applyBorder="1"/>
    <x:xf numFmtId="202" fontId="5" fillId="0" borderId="0" xfId="0" applyNumberFormat="1" applyFont="1" applyFill="1" applyBorder="1" applyAlignment="1">
      <x:alignment horizontal="right"/>
    </x:xf>
    <x:xf numFmtId="215" fontId="5" fillId="0" borderId="0" xfId="0" applyNumberFormat="1" applyFont="1" applyFill="1" applyBorder="1"/>
    <x:xf numFmtId="215" fontId="5" fillId="0" borderId="0" xfId="0" applyNumberFormat="1" applyFont="1" applyFill="1" applyBorder="1" applyAlignment="1">
      <x:alignment horizontal="right"/>
    </x:xf>
    <x:xf numFmtId="0" fontId="2" fillId="16" borderId="0" xfId="0" applyNumberFormat="1" applyFont="1" applyFill="1" applyBorder="1" applyAlignment="1">
      <x:alignment wrapText="1"/>
    </x:xf>
    <x:xf numFmtId="0" fontId="14" fillId="18" borderId="0" xfId="0" applyNumberFormat="1" applyFont="1" applyFill="1" applyBorder="1" applyAlignment="1">
      <x:alignment vertical="center" wrapText="1"/>
    </x:xf>
    <x:xf numFmtId="200" fontId="14" fillId="18" borderId="0" xfId="0" applyNumberFormat="1" applyFont="1" applyFill="1" applyBorder="1" applyAlignment="1">
      <x:alignment vertical="center" wrapText="1"/>
    </x:xf>
    <x:xf numFmtId="0" fontId="19" fillId="18" borderId="0" xfId="0" applyNumberFormat="1" applyFont="1" applyFill="1" applyBorder="1" applyAlignment="1">
      <x:alignment vertical="center" wrapText="1"/>
    </x:xf>
    <x:xf numFmtId="200" fontId="19" fillId="18" borderId="0" xfId="0" applyNumberFormat="1" applyFont="1" applyFill="1" applyBorder="1" applyAlignment="1">
      <x:alignment vertical="center" wrapText="1"/>
    </x:xf>
    <x:xf numFmtId="0" fontId="13" fillId="16" borderId="0" xfId="0" applyNumberFormat="1" applyFont="1" applyFill="1" applyBorder="1" applyAlignment="1">
      <x:alignment vertical="center" wrapText="1"/>
    </x:xf>
    <x:xf numFmtId="200" fontId="13" fillId="16" borderId="0" xfId="0" applyNumberFormat="1" applyFont="1" applyFill="1" applyBorder="1" applyAlignment="1">
      <x:alignment vertical="center" wrapText="1"/>
    </x:xf>
    <x:xf numFmtId="0" fontId="2" fillId="16" borderId="0" xfId="0" applyNumberFormat="1" applyFont="1" applyFill="1" applyBorder="1" applyAlignment="1">
      <x:alignment vertical="center" wrapText="1"/>
    </x:xf>
    <x:xf numFmtId="200" fontId="2" fillId="16" borderId="0" xfId="0" applyNumberFormat="1" applyFont="1" applyFill="1" applyBorder="1" applyAlignment="1">
      <x:alignment vertical="center" wrapText="1"/>
    </x:xf>
  </x:cellXfs>
  <x:cellStyles count="1">
    <x:cellStyle name="Normal" xfId="0"/>
  </x:cellStyles>
  <x:dxfs count="5">
    <x:dxf>
      <x:font>
        <x:color rgb="FFD43B39"/>
      </x:font>
      <x:fill>
        <x:patternFill>
          <x:bgColor rgb="FFFDE8E4"/>
        </x:patternFill>
      </x:fill>
    </x:dxf>
    <x:dxf>
      <x:font>
        <x:color rgb="FFD43B39"/>
      </x:font>
      <x:fill>
        <x:patternFill>
          <x:bgColor rgb="FFFDE8E4"/>
        </x:patternFill>
      </x:fill>
    </x:dxf>
    <x:dxf>
      <x:font>
        <x:color rgb="FFD43B39"/>
      </x:font>
      <x:fill>
        <x:patternFill>
          <x:bgColor rgb="FFFDE8E4"/>
        </x:patternFill>
      </x:fill>
    </x:dxf>
    <x:dxf>
      <x:font>
        <x:color rgb="FFD43B39"/>
      </x:font>
      <x:fill>
        <x:patternFill>
          <x:bgColor rgb="FFFDE8E4"/>
        </x:patternFill>
      </x:fill>
    </x:dxf>
    <x:dxf>
      <x:font>
        <x:color rgb="FFD43B39"/>
      </x:font>
      <x:fill>
        <x:patternFill>
          <x:bgColor rgb="FFFDE8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ac4121749c42a2" /><Relationship Type="http://schemas.openxmlformats.org/officeDocument/2006/relationships/theme" Target="/xl/theme/theme1.xml" Id="R574b32242ef14fe1" /><Relationship Type="http://schemas.openxmlformats.org/officeDocument/2006/relationships/sharedStrings" Target="/xl/sharedStrings.xml" Id="R774dc7936e7642cf" /><Relationship Type="http://schemas.openxmlformats.org/officeDocument/2006/relationships/worksheet" Target="/xl/worksheets/sheet1.xml" Id="R8ed72d71d74248b6" /><Relationship Type="http://schemas.openxmlformats.org/officeDocument/2006/relationships/worksheet" Target="/xl/worksheets/sheet2.xml" Id="Ree6bb8ec08e14004" /><Relationship Type="http://schemas.openxmlformats.org/officeDocument/2006/relationships/worksheet" Target="/xl/worksheets/sheet3.xml" Id="Rd4cb5e5d16644870" /><Relationship Type="http://schemas.openxmlformats.org/officeDocument/2006/relationships/worksheet" Target="/xl/worksheets/sheet4.xml" Id="R3974dcdb26264f2f" /><Relationship Type="http://schemas.openxmlformats.org/officeDocument/2006/relationships/worksheet" Target="/xl/worksheets/sheet5.xml" Id="Rd106b97dfd5b4545" /><Relationship Type="http://schemas.openxmlformats.org/officeDocument/2006/relationships/worksheet" Target="/xl/worksheets/sheet6.xml" Id="Rcfa143c949f64f48" /><Relationship Type="http://schemas.openxmlformats.org/officeDocument/2006/relationships/worksheet" Target="/xl/worksheets/sheet7.xml" Id="Rbbb735e2337c4761" /><Relationship Type="http://schemas.openxmlformats.org/officeDocument/2006/relationships/worksheet" Target="/xl/worksheets/sheet8.xml" Id="R72c20f66233c4f90" /><Relationship Type="http://schemas.openxmlformats.org/officeDocument/2006/relationships/worksheet" Target="/xl/worksheets/sheet9.xml" Id="Rfbabc505df6445b2" /><Relationship Type="http://schemas.openxmlformats.org/officeDocument/2006/relationships/worksheet" Target="/xl/worksheets/sheet10.xml" Id="R9f4cafb07edb4e60" /><Relationship Type="http://schemas.openxmlformats.org/officeDocument/2006/relationships/worksheet" Target="/xl/worksheets/sheet11.xml" Id="Re47157f7b9d5454b" /><Relationship Type="http://schemas.openxmlformats.org/officeDocument/2006/relationships/worksheet" Target="/xl/worksheets/sheet12.xml" Id="Rc3593c99ffbf4aba" /><Relationship Type="http://schemas.openxmlformats.org/officeDocument/2006/relationships/worksheet" Target="/xl/worksheets/sheet13.xml" Id="R0effa06d053f4389" /><Relationship Type="http://schemas.openxmlformats.org/officeDocument/2006/relationships/worksheet" Target="/xl/worksheets/sheet14.xml" Id="R79ce423775824e28" /><Relationship Type="http://schemas.openxmlformats.org/officeDocument/2006/relationships/worksheet" Target="/xl/worksheets/sheet15.xml" Id="Rfeafa40a575a40a5" /><Relationship Type="http://schemas.openxmlformats.org/officeDocument/2006/relationships/worksheet" Target="/xl/worksheets/sheet16.xml" Id="R87f7a8ec1b3f436c" /><Relationship Type="http://schemas.openxmlformats.org/officeDocument/2006/relationships/worksheet" Target="/xl/worksheets/sheet17.xml" Id="R4e26ce0d84b44c0d" /><Relationship Type="http://schemas.openxmlformats.org/officeDocument/2006/relationships/worksheet" Target="/xl/worksheets/sheet18.xml" Id="R4869e37fe9bc4596" /><Relationship Type="http://schemas.openxmlformats.org/officeDocument/2006/relationships/worksheet" Target="/xl/worksheets/sheet19.xml" Id="R0917045765ed4ecf" /><Relationship Type="http://schemas.openxmlformats.org/officeDocument/2006/relationships/worksheet" Target="/xl/worksheets/sheet20.xml" Id="R71c9c05c4121489f" /><Relationship Type="http://schemas.openxmlformats.org/officeDocument/2006/relationships/worksheet" Target="/xl/worksheets/sheet21.xml" Id="Rd69e687ba9464209" /><Relationship Type="http://schemas.openxmlformats.org/officeDocument/2006/relationships/worksheet" Target="/xl/worksheets/sheet22.xml" Id="R2b75d982c7d845b4" /><Relationship Type="http://schemas.openxmlformats.org/officeDocument/2006/relationships/worksheet" Target="/xl/worksheets/sheet23.xml" Id="Rd85811be0c9b4012" /><Relationship Type="http://schemas.openxmlformats.org/officeDocument/2006/relationships/worksheet" Target="/xl/worksheets/sheet24.xml" Id="R44bcaebe1c614617" /><Relationship Type="http://schemas.openxmlformats.org/officeDocument/2006/relationships/worksheet" Target="/xl/worksheets/sheet25.xml" Id="R450861beaee44b31" /></Relationships>
</file>

<file path=xl/drawings/_rels/drawing1.xml.rels>&#65279;<?xml version="1.0" encoding="utf-8"?><Relationships xmlns="http://schemas.openxmlformats.org/package/2006/relationships"><Relationship Type="http://schemas.openxmlformats.org/officeDocument/2006/relationships/chart" Target="/xl/drawings/charts/chart1.xml" Id="R43999a211b0d42be" /><Relationship Type="http://schemas.openxmlformats.org/officeDocument/2006/relationships/chart" Target="/xl/drawings/charts/chart2.xml" Id="Ra3262538b5634e70" /><Relationship Type="http://schemas.openxmlformats.org/officeDocument/2006/relationships/chart" Target="/xl/drawings/charts/chart3.xml" Id="R6213aa77e0444ee4" /><Relationship Type="http://schemas.openxmlformats.org/officeDocument/2006/relationships/chart" Target="/xl/drawings/charts/chart4.xml" Id="R69b28e0bd3e5474c" /><Relationship Type="http://schemas.openxmlformats.org/officeDocument/2006/relationships/chart" Target="/xl/drawings/charts/chart5.xml" Id="R0b4010d8e0a64de0" /><Relationship Type="http://schemas.openxmlformats.org/officeDocument/2006/relationships/chart" Target="/xl/drawings/charts/chart6.xml" Id="Rab4825dad831465f" /><Relationship Type="http://schemas.openxmlformats.org/officeDocument/2006/relationships/chart" Target="/xl/drawings/charts/chart7.xml" Id="Radbd6173cc7b423c" /><Relationship Type="http://schemas.openxmlformats.org/officeDocument/2006/relationships/chart" Target="/xl/drawings/charts/chart8.xml" Id="R9a85abefb9a04fc4" /><Relationship Type="http://schemas.openxmlformats.org/officeDocument/2006/relationships/chart" Target="/xl/drawings/charts/chart9.xml" Id="Rbf0eeb2923054397" /><Relationship Type="http://schemas.openxmlformats.org/officeDocument/2006/relationships/chart" Target="/xl/drawings/charts/chart10.xml" Id="Rcb17e353b99b454b" /><Relationship Type="http://schemas.openxmlformats.org/officeDocument/2006/relationships/chart" Target="/xl/drawings/charts/chart11.xml" Id="Re21bff176e734ecd" /><Relationship Type="http://schemas.openxmlformats.org/officeDocument/2006/relationships/chart" Target="/xl/drawings/charts/chart12.xml" Id="Rda382669fddc4b99" /><Relationship Type="http://schemas.openxmlformats.org/officeDocument/2006/relationships/chart" Target="/xl/drawings/charts/chart13.xml" Id="R72084359e4df409c" /><Relationship Type="http://schemas.openxmlformats.org/officeDocument/2006/relationships/chart" Target="/xl/drawings/charts/chart14.xml" Id="R8512f2d8180c456b" /><Relationship Type="http://schemas.openxmlformats.org/officeDocument/2006/relationships/chart" Target="/xl/drawings/charts/chart15.xml" Id="R131fb622f42044db" /><Relationship Type="http://schemas.openxmlformats.org/officeDocument/2006/relationships/chart" Target="/xl/drawings/charts/chart16.xml" Id="R040a6d1af52e44a8" /><Relationship Type="http://schemas.openxmlformats.org/officeDocument/2006/relationships/chart" Target="/xl/drawings/charts/chart17.xml" Id="R3c063eed4cd14683" /><Relationship Type="http://schemas.openxmlformats.org/officeDocument/2006/relationships/chart" Target="/xl/drawings/charts/chart18.xml" Id="Rd5b1be2a97e94bc5" /><Relationship Type="http://schemas.openxmlformats.org/officeDocument/2006/relationships/chart" Target="/xl/drawings/charts/chart19.xml" Id="Ra1af1552586c42cc" /><Relationship Type="http://schemas.openxmlformats.org/officeDocument/2006/relationships/chart" Target="/xl/drawings/charts/chart20.xml" Id="Rdefe4264eeb34e9f" /><Relationship Type="http://schemas.openxmlformats.org/officeDocument/2006/relationships/chart" Target="/xl/drawings/charts/chart21.xml" Id="R5cc364cb90014860" /><Relationship Type="http://schemas.openxmlformats.org/officeDocument/2006/relationships/chart" Target="/xl/drawings/charts/chart22.xml" Id="Rfea5d6e3c19c4976" /><Relationship Type="http://schemas.openxmlformats.org/officeDocument/2006/relationships/chart" Target="/xl/drawings/charts/chart23.xml" Id="R43d2407098984079" /><Relationship Type="http://schemas.openxmlformats.org/officeDocument/2006/relationships/chart" Target="/xl/drawings/charts/chart24.xml" Id="Rafd3141d8470428c" /></Relationships>
</file>

<file path=xl/drawings/charts/chart1.xml><?xml version="1.0" encoding="utf-8"?>
<c:chartSpace xmlns:c="http://schemas.openxmlformats.org/drawingml/2006/chart">
  <c:lang val="en-US"/>
  <c:roundedCorners val="0"/>
  <c:chart>
    <c:plotArea>
      <c:lineChart>
        <c:grouping val="standard"/>
        <c:ser>
          <c:idx val="0"/>
          <c:order val="0"/>
          <c:tx>
            <c:v>Gross revenue, incl excise</c:v>
          </c:tx>
          <c:spPr>
            <a:ln xmlns:a="http://schemas.openxmlformats.org/drawingml/2006/main" w="24765">
              <a:solidFill>
                <a:srgbClr val="0B746D"/>
              </a:solidFill>
              <a:prstDash val="solid"/>
            </a:ln>
          </c:spPr>
          <c:marker>
            <c:symbol val="none"/>
          </c:marker>
          <c:cat>
            <c:strRef>
              <c:f>'Chart_Data'!$A$9:$A$15</c:f>
              <c:strCache>
                <c:ptCount val="0"/>
              </c:strCache>
            </c:strRef>
          </c:cat>
          <c:val>
            <c:numRef>
              <c:f>'Chart_Data'!$B$9:$B$15</c:f>
              <c:numCache>
                <c:formatCode>#,##0;[Red](#,##0);–</c:formatCode>
                <c:ptCount val="0"/>
              </c:numCache>
            </c:numRef>
          </c:val>
        </c:ser>
        <c:ser>
          <c:idx val="1"/>
          <c:order val="1"/>
          <c:tx>
            <c:v>Revenue after excise</c:v>
          </c:tx>
          <c:spPr>
            <a:ln xmlns:a="http://schemas.openxmlformats.org/drawingml/2006/main" w="24765">
              <a:solidFill>
                <a:srgbClr val="235789"/>
              </a:solidFill>
              <a:prstDash val="solid"/>
            </a:ln>
          </c:spPr>
          <c:marker>
            <c:symbol val="none"/>
          </c:marker>
          <c:cat>
            <c:strRef>
              <c:f>'Chart_Data'!$A$9:$A$15</c:f>
              <c:strCache>
                <c:ptCount val="0"/>
              </c:strCache>
            </c:strRef>
          </c:cat>
          <c:val>
            <c:numRef>
              <c:f>'Chart_Data'!$C$9:$C$15</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ser>
          <c:idx val="0"/>
          <c:order val="0"/>
          <c:tx>
            <c:v>Booked excise</c:v>
          </c:tx>
          <c:spPr>
            <a:ln xmlns:a="http://schemas.openxmlformats.org/drawingml/2006/main" w="24765">
              <a:solidFill>
                <a:srgbClr val="0B746D"/>
              </a:solidFill>
              <a:prstDash val="solid"/>
            </a:ln>
          </c:spPr>
          <c:marker>
            <c:symbol val="none"/>
          </c:marker>
          <c:cat>
            <c:strRef>
              <c:f>'Chart_Data'!$A$21:$A$27</c:f>
              <c:strCache>
                <c:ptCount val="0"/>
              </c:strCache>
            </c:strRef>
          </c:cat>
          <c:val>
            <c:numRef>
              <c:f>'Chart_Data'!$B$21:$B$27</c:f>
              <c:numCache>
                <c:formatCode>#,##0;[Red](#,##0);–</c:formatCode>
                <c:ptCount val="0"/>
              </c:numCache>
            </c:numRef>
          </c:val>
        </c:ser>
        <c:ser>
          <c:idx val="1"/>
          <c:order val="1"/>
          <c:tx>
            <c:v>Cigarettes ex excise</c:v>
          </c:tx>
          <c:spPr>
            <a:ln xmlns:a="http://schemas.openxmlformats.org/drawingml/2006/main" w="24765">
              <a:solidFill>
                <a:srgbClr val="235789"/>
              </a:solidFill>
              <a:prstDash val="solid"/>
            </a:ln>
          </c:spPr>
          <c:marker>
            <c:symbol val="none"/>
          </c:marker>
          <c:cat>
            <c:strRef>
              <c:f>'Chart_Data'!$A$21:$A$27</c:f>
              <c:strCache>
                <c:ptCount val="0"/>
              </c:strCache>
            </c:strRef>
          </c:cat>
          <c:val>
            <c:numRef>
              <c:f>'Chart_Data'!$C$21:$C$27</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barChart>
        <c:barDir val="col"/>
        <c:grouping val="clustered"/>
        <c:varyColors val="0"/>
        <c:ser>
          <c:idx val="0"/>
          <c:order val="0"/>
          <c:tx>
            <c:v>FY26A</c:v>
          </c:tx>
          <c:spPr>
            <a:solidFill xmlns:a="http://schemas.openxmlformats.org/drawingml/2006/main">
              <a:srgbClr val="0B746D"/>
            </a:solidFill>
          </c:spPr>
          <c:cat>
            <c:strRef>
              <c:f>'Chart_Data'!$A$33:$A$37</c:f>
              <c:strCache>
                <c:ptCount val="0"/>
              </c:strCache>
            </c:strRef>
          </c:cat>
          <c:val>
            <c:numRef>
              <c:f>'Chart_Data'!$B$33:$B$37</c:f>
              <c:numCache>
                <c:formatCode>#,##0;[Red](#,##0);–</c:formatCode>
                <c:ptCount val="0"/>
              </c:numCache>
            </c:numRef>
          </c:val>
        </c:ser>
        <c:ser>
          <c:idx val="1"/>
          <c:order val="1"/>
          <c:tx>
            <c:v>FY31E</c:v>
          </c:tx>
          <c:spPr>
            <a:solidFill xmlns:a="http://schemas.openxmlformats.org/drawingml/2006/main">
              <a:srgbClr val="235789"/>
            </a:solidFill>
          </c:spPr>
          <c:cat>
            <c:strRef>
              <c:f>'Chart_Data'!$A$33:$A$37</c:f>
              <c:strCache>
                <c:ptCount val="0"/>
              </c:strCache>
            </c:strRef>
          </c:cat>
          <c:val>
            <c:numRef>
              <c:f>'Chart_Data'!$C$33:$C$37</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barChart>
        <c:barDir val="col"/>
        <c:grouping val="clustered"/>
        <c:varyColors val="0"/>
        <c:ser>
          <c:idx val="0"/>
          <c:order val="0"/>
          <c:tx>
            <c:v>FY26A</c:v>
          </c:tx>
          <c:spPr>
            <a:solidFill xmlns:a="http://schemas.openxmlformats.org/drawingml/2006/main">
              <a:srgbClr val="0B746D"/>
            </a:solidFill>
          </c:spPr>
          <c:cat>
            <c:strRef>
              <c:f>'Chart_Data'!$A$43:$A$47</c:f>
              <c:strCache>
                <c:ptCount val="0"/>
              </c:strCache>
            </c:strRef>
          </c:cat>
          <c:val>
            <c:numRef>
              <c:f>'Chart_Data'!$B$43:$B$47</c:f>
              <c:numCache>
                <c:formatCode>#,##0;[Red](#,##0);–</c:formatCode>
                <c:ptCount val="0"/>
              </c:numCache>
            </c:numRef>
          </c:val>
        </c:ser>
        <c:ser>
          <c:idx val="1"/>
          <c:order val="1"/>
          <c:tx>
            <c:v>FY31E</c:v>
          </c:tx>
          <c:spPr>
            <a:solidFill xmlns:a="http://schemas.openxmlformats.org/drawingml/2006/main">
              <a:srgbClr val="235789"/>
            </a:solidFill>
          </c:spPr>
          <c:cat>
            <c:strRef>
              <c:f>'Chart_Data'!$A$43:$A$47</c:f>
              <c:strCache>
                <c:ptCount val="0"/>
              </c:strCache>
            </c:strRef>
          </c:cat>
          <c:val>
            <c:numRef>
              <c:f>'Chart_Data'!$C$43:$C$47</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lineChart>
        <c:grouping val="standard"/>
        <c:ser>
          <c:idx val="0"/>
          <c:order val="0"/>
          <c:tx>
            <c:v>Ex-excise cigar revenue</c:v>
          </c:tx>
          <c:spPr>
            <a:ln xmlns:a="http://schemas.openxmlformats.org/drawingml/2006/main" w="24765">
              <a:solidFill>
                <a:srgbClr val="0B746D"/>
              </a:solidFill>
              <a:prstDash val="solid"/>
            </a:ln>
          </c:spPr>
          <c:marker>
            <c:symbol val="none"/>
          </c:marker>
          <c:cat>
            <c:strRef>
              <c:f>'Chart_Data'!$A$53:$A$59</c:f>
              <c:strCache>
                <c:ptCount val="0"/>
              </c:strCache>
            </c:strRef>
          </c:cat>
          <c:val>
            <c:numRef>
              <c:f>'Chart_Data'!$B$53:$B$59</c:f>
              <c:numCache>
                <c:formatCode>#,##0;[Red](#,##0);–</c:formatCode>
                <c:ptCount val="0"/>
              </c:numCache>
            </c:numRef>
          </c:val>
        </c:ser>
        <c:ser>
          <c:idx val="1"/>
          <c:order val="1"/>
          <c:tx>
            <c:v>Excise amount</c:v>
          </c:tx>
          <c:spPr>
            <a:ln xmlns:a="http://schemas.openxmlformats.org/drawingml/2006/main" w="24765">
              <a:solidFill>
                <a:srgbClr val="235789"/>
              </a:solidFill>
              <a:prstDash val="solid"/>
            </a:ln>
          </c:spPr>
          <c:marker>
            <c:symbol val="none"/>
          </c:marker>
          <c:cat>
            <c:strRef>
              <c:f>'Chart_Data'!$A$53:$A$59</c:f>
              <c:strCache>
                <c:ptCount val="0"/>
              </c:strCache>
            </c:strRef>
          </c:cat>
          <c:val>
            <c:numRef>
              <c:f>'Chart_Data'!$C$53:$C$59</c:f>
              <c:numCache>
                <c:formatCode>#,##0;[Red](#,##0);–</c:formatCode>
                <c:ptCount val="0"/>
              </c:numCache>
            </c:numRef>
          </c:val>
        </c:ser>
        <c:ser>
          <c:idx val="2"/>
          <c:order val="2"/>
          <c:tx>
            <c:v>Gross cigarette turnover</c:v>
          </c:tx>
          <c:spPr>
            <a:ln xmlns:a="http://schemas.openxmlformats.org/drawingml/2006/main" w="24765">
              <a:solidFill>
                <a:srgbClr val="D6A13D"/>
              </a:solidFill>
              <a:prstDash val="solid"/>
            </a:ln>
          </c:spPr>
          <c:marker>
            <c:symbol val="none"/>
          </c:marker>
          <c:cat>
            <c:strRef>
              <c:f>'Chart_Data'!$A$53:$A$59</c:f>
              <c:strCache>
                <c:ptCount val="0"/>
              </c:strCache>
            </c:strRef>
          </c:cat>
          <c:val>
            <c:numRef>
              <c:f>'Chart_Data'!$D$53:$D$59</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ineChart>
        <c:grouping val="standard"/>
        <c:ser>
          <c:idx val="0"/>
          <c:order val="0"/>
          <c:tx>
            <c:v>Cigarette share of segment PBIT</c:v>
          </c:tx>
          <c:spPr>
            <a:ln xmlns:a="http://schemas.openxmlformats.org/drawingml/2006/main" w="24765">
              <a:solidFill>
                <a:srgbClr val="0B746D"/>
              </a:solidFill>
              <a:prstDash val="solid"/>
            </a:ln>
          </c:spPr>
          <c:marker>
            <c:symbol val="none"/>
          </c:marker>
          <c:cat>
            <c:strRef>
              <c:f>'Chart_Data'!$A$65:$A$71</c:f>
              <c:strCache>
                <c:ptCount val="0"/>
              </c:strCache>
            </c:strRef>
          </c:cat>
          <c:val>
            <c:numRef>
              <c:f>'Chart_Data'!$B$65:$B$71</c:f>
              <c:numCache>
                <c:formatCode>0.0%;[Red](0.0%);–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Red](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lineChart>
        <c:grouping val="standard"/>
        <c:ser>
          <c:idx val="0"/>
          <c:order val="0"/>
          <c:tx>
            <c:v>FMCG Others revenue</c:v>
          </c:tx>
          <c:spPr>
            <a:ln xmlns:a="http://schemas.openxmlformats.org/drawingml/2006/main" w="24765">
              <a:solidFill>
                <a:srgbClr val="0B746D"/>
              </a:solidFill>
              <a:prstDash val="solid"/>
            </a:ln>
          </c:spPr>
          <c:marker>
            <c:symbol val="none"/>
          </c:marker>
          <c:cat>
            <c:strRef>
              <c:f>'Chart_Data'!$A$77:$A$83</c:f>
              <c:strCache>
                <c:ptCount val="0"/>
              </c:strCache>
            </c:strRef>
          </c:cat>
          <c:val>
            <c:numRef>
              <c:f>'Chart_Data'!$B$77:$B$83</c:f>
              <c:numCache>
                <c:formatCode>#,##0;[Red](#,##0);–</c:formatCode>
                <c:ptCount val="0"/>
              </c:numCache>
            </c:numRef>
          </c:val>
        </c:ser>
        <c:ser>
          <c:idx val="1"/>
          <c:order val="1"/>
          <c:tx>
            <c:v>Agri revenue</c:v>
          </c:tx>
          <c:spPr>
            <a:ln xmlns:a="http://schemas.openxmlformats.org/drawingml/2006/main" w="24765">
              <a:solidFill>
                <a:srgbClr val="235789"/>
              </a:solidFill>
              <a:prstDash val="solid"/>
            </a:ln>
          </c:spPr>
          <c:marker>
            <c:symbol val="none"/>
          </c:marker>
          <c:cat>
            <c:strRef>
              <c:f>'Chart_Data'!$A$77:$A$83</c:f>
              <c:strCache>
                <c:ptCount val="0"/>
              </c:strCache>
            </c:strRef>
          </c:cat>
          <c:val>
            <c:numRef>
              <c:f>'Chart_Data'!$C$77:$C$83</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plotArea>
      <c:barChart>
        <c:barDir val="col"/>
        <c:grouping val="clustered"/>
        <c:varyColors val="0"/>
        <c:ser>
          <c:idx val="0"/>
          <c:order val="0"/>
          <c:tx>
            <c:v>Legacy paper revenue</c:v>
          </c:tx>
          <c:spPr>
            <a:solidFill xmlns:a="http://schemas.openxmlformats.org/drawingml/2006/main">
              <a:srgbClr val="0B746D"/>
            </a:solidFill>
          </c:spPr>
          <c:cat>
            <c:strRef>
              <c:f>'Chart_Data'!$A$89:$A$95</c:f>
              <c:strCache>
                <c:ptCount val="0"/>
              </c:strCache>
            </c:strRef>
          </c:cat>
          <c:val>
            <c:numRef>
              <c:f>'Chart_Data'!$B$89:$B$95</c:f>
              <c:numCache>
                <c:formatCode>#,##0;[Red](#,##0);–</c:formatCode>
                <c:ptCount val="0"/>
              </c:numCache>
            </c:numRef>
          </c:val>
        </c:ser>
        <c:ser>
          <c:idx val="1"/>
          <c:order val="1"/>
          <c:tx>
            <c:v>Century incremental revenue</c:v>
          </c:tx>
          <c:spPr>
            <a:solidFill xmlns:a="http://schemas.openxmlformats.org/drawingml/2006/main">
              <a:srgbClr val="235789"/>
            </a:solidFill>
          </c:spPr>
          <c:cat>
            <c:strRef>
              <c:f>'Chart_Data'!$A$89:$A$95</c:f>
              <c:strCache>
                <c:ptCount val="0"/>
              </c:strCache>
            </c:strRef>
          </c:cat>
          <c:val>
            <c:numRef>
              <c:f>'Chart_Data'!$C$89:$C$95</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plotArea>
      <c:lineChart>
        <c:grouping val="standard"/>
        <c:ser>
          <c:idx val="0"/>
          <c:order val="0"/>
          <c:tx>
            <c:v>Cigarettes</c:v>
          </c:tx>
          <c:spPr>
            <a:ln xmlns:a="http://schemas.openxmlformats.org/drawingml/2006/main" w="24765">
              <a:solidFill>
                <a:srgbClr val="0B746D"/>
              </a:solidFill>
              <a:prstDash val="solid"/>
            </a:ln>
          </c:spPr>
          <c:marker>
            <c:symbol val="none"/>
          </c:marker>
          <c:cat>
            <c:strRef>
              <c:f>'Chart_Data'!$A$101:$A$107</c:f>
              <c:strCache>
                <c:ptCount val="0"/>
              </c:strCache>
            </c:strRef>
          </c:cat>
          <c:val>
            <c:numRef>
              <c:f>'Chart_Data'!$B$101:$B$107</c:f>
              <c:numCache>
                <c:formatCode>#,##0;[Red](#,##0);–</c:formatCode>
                <c:ptCount val="0"/>
              </c:numCache>
            </c:numRef>
          </c:val>
        </c:ser>
        <c:ser>
          <c:idx val="1"/>
          <c:order val="1"/>
          <c:tx>
            <c:v>FMCG Others</c:v>
          </c:tx>
          <c:spPr>
            <a:ln xmlns:a="http://schemas.openxmlformats.org/drawingml/2006/main" w="24765">
              <a:solidFill>
                <a:srgbClr val="235789"/>
              </a:solidFill>
              <a:prstDash val="solid"/>
            </a:ln>
          </c:spPr>
          <c:marker>
            <c:symbol val="none"/>
          </c:marker>
          <c:cat>
            <c:strRef>
              <c:f>'Chart_Data'!$A$101:$A$107</c:f>
              <c:strCache>
                <c:ptCount val="0"/>
              </c:strCache>
            </c:strRef>
          </c:cat>
          <c:val>
            <c:numRef>
              <c:f>'Chart_Data'!$C$101:$C$107</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plotArea>
      <c:lineChart>
        <c:grouping val="standard"/>
        <c:ser>
          <c:idx val="0"/>
          <c:order val="0"/>
          <c:tx>
            <c:v>FMCG Others segment margin</c:v>
          </c:tx>
          <c:spPr>
            <a:ln xmlns:a="http://schemas.openxmlformats.org/drawingml/2006/main" w="24765">
              <a:solidFill>
                <a:srgbClr val="0B746D"/>
              </a:solidFill>
              <a:prstDash val="solid"/>
            </a:ln>
          </c:spPr>
          <c:marker>
            <c:symbol val="none"/>
          </c:marker>
          <c:cat>
            <c:strRef>
              <c:f>'Chart_Data'!$A$113:$A$119</c:f>
              <c:strCache>
                <c:ptCount val="0"/>
              </c:strCache>
            </c:strRef>
          </c:cat>
          <c:val>
            <c:numRef>
              <c:f>'Chart_Data'!$B$113:$B$119</c:f>
              <c:numCache>
                <c:formatCode>0.0%;[Red](0.0%);–</c:formatCode>
                <c:ptCount val="0"/>
              </c:numCache>
            </c:numRef>
          </c:val>
        </c:ser>
        <c:ser>
          <c:idx val="1"/>
          <c:order val="1"/>
          <c:tx>
            <c:v>Paper segment margin</c:v>
          </c:tx>
          <c:spPr>
            <a:ln xmlns:a="http://schemas.openxmlformats.org/drawingml/2006/main" w="24765">
              <a:solidFill>
                <a:srgbClr val="235789"/>
              </a:solidFill>
              <a:prstDash val="solid"/>
            </a:ln>
          </c:spPr>
          <c:marker>
            <c:symbol val="none"/>
          </c:marker>
          <c:cat>
            <c:strRef>
              <c:f>'Chart_Data'!$A$113:$A$119</c:f>
              <c:strCache>
                <c:ptCount val="0"/>
              </c:strCache>
            </c:strRef>
          </c:cat>
          <c:val>
            <c:numRef>
              <c:f>'Chart_Data'!$C$113:$C$119</c:f>
              <c:numCache>
                <c:formatCode>0.0%;[Red](0.0%);–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Red](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plotArea>
      <c:lineChart>
        <c:grouping val="standard"/>
        <c:ser>
          <c:idx val="0"/>
          <c:order val="0"/>
          <c:tx>
            <c:v>FMCG Others YoY</c:v>
          </c:tx>
          <c:spPr>
            <a:ln xmlns:a="http://schemas.openxmlformats.org/drawingml/2006/main" w="24765">
              <a:solidFill>
                <a:srgbClr val="0B746D"/>
              </a:solidFill>
              <a:prstDash val="solid"/>
            </a:ln>
          </c:spPr>
          <c:marker>
            <c:symbol val="none"/>
          </c:marker>
          <c:cat>
            <c:strRef>
              <c:f>'Chart_Data'!$A$125:$A$131</c:f>
              <c:strCache>
                <c:ptCount val="0"/>
              </c:strCache>
            </c:strRef>
          </c:cat>
          <c:val>
            <c:numRef>
              <c:f>'Chart_Data'!$B$125:$B$131</c:f>
              <c:numCache>
                <c:formatCode>0.0%;[Red](0.0%);–</c:formatCode>
                <c:ptCount val="0"/>
              </c:numCache>
            </c:numRef>
          </c:val>
        </c:ser>
        <c:ser>
          <c:idx val="1"/>
          <c:order val="1"/>
          <c:tx>
            <c:v>Ex-excise net revenue YoY</c:v>
          </c:tx>
          <c:spPr>
            <a:ln xmlns:a="http://schemas.openxmlformats.org/drawingml/2006/main" w="24765">
              <a:solidFill>
                <a:srgbClr val="235789"/>
              </a:solidFill>
              <a:prstDash val="solid"/>
            </a:ln>
          </c:spPr>
          <c:marker>
            <c:symbol val="none"/>
          </c:marker>
          <c:cat>
            <c:strRef>
              <c:f>'Chart_Data'!$A$125:$A$131</c:f>
              <c:strCache>
                <c:ptCount val="0"/>
              </c:strCache>
            </c:strRef>
          </c:cat>
          <c:val>
            <c:numRef>
              <c:f>'Chart_Data'!$C$125:$C$131</c:f>
              <c:numCache>
                <c:formatCode>0.0%;[Red](0.0%);–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Red](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plotArea>
      <c:lineChart>
        <c:grouping val="standard"/>
        <c:ser>
          <c:idx val="0"/>
          <c:order val="0"/>
          <c:tx>
            <c:v>Segment operating PBIT</c:v>
          </c:tx>
          <c:spPr>
            <a:ln xmlns:a="http://schemas.openxmlformats.org/drawingml/2006/main" w="24765">
              <a:solidFill>
                <a:srgbClr val="0B746D"/>
              </a:solidFill>
              <a:prstDash val="solid"/>
            </a:ln>
          </c:spPr>
          <c:marker>
            <c:symbol val="none"/>
          </c:marker>
          <c:cat>
            <c:strRef>
              <c:f>'Chart_Data'!$A$137:$A$143</c:f>
              <c:strCache>
                <c:ptCount val="0"/>
              </c:strCache>
            </c:strRef>
          </c:cat>
          <c:val>
            <c:numRef>
              <c:f>'Chart_Data'!$B$137:$B$143</c:f>
              <c:numCache>
                <c:formatCode>#,##0;[Red](#,##0);–</c:formatCode>
                <c:ptCount val="0"/>
              </c:numCache>
            </c:numRef>
          </c:val>
        </c:ser>
        <c:ser>
          <c:idx val="1"/>
          <c:order val="1"/>
          <c:tx>
            <c:v>Standalone continuing PAT</c:v>
          </c:tx>
          <c:spPr>
            <a:ln xmlns:a="http://schemas.openxmlformats.org/drawingml/2006/main" w="24765">
              <a:solidFill>
                <a:srgbClr val="235789"/>
              </a:solidFill>
              <a:prstDash val="solid"/>
            </a:ln>
          </c:spPr>
          <c:marker>
            <c:symbol val="none"/>
          </c:marker>
          <c:cat>
            <c:strRef>
              <c:f>'Chart_Data'!$A$137:$A$143</c:f>
              <c:strCache>
                <c:ptCount val="0"/>
              </c:strCache>
            </c:strRef>
          </c:cat>
          <c:val>
            <c:numRef>
              <c:f>'Chart_Data'!$C$137:$C$143</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plotArea>
      <c:lineChart>
        <c:grouping val="standard"/>
        <c:ser>
          <c:idx val="0"/>
          <c:order val="0"/>
          <c:tx>
            <c:v>Operating cash flow</c:v>
          </c:tx>
          <c:spPr>
            <a:ln xmlns:a="http://schemas.openxmlformats.org/drawingml/2006/main" w="24765">
              <a:solidFill>
                <a:srgbClr val="0B746D"/>
              </a:solidFill>
              <a:prstDash val="solid"/>
            </a:ln>
          </c:spPr>
          <c:marker>
            <c:symbol val="none"/>
          </c:marker>
          <c:cat>
            <c:strRef>
              <c:f>'Chart_Data'!$A$149:$A$155</c:f>
              <c:strCache>
                <c:ptCount val="0"/>
              </c:strCache>
            </c:strRef>
          </c:cat>
          <c:val>
            <c:numRef>
              <c:f>'Chart_Data'!$B$149:$B$155</c:f>
              <c:numCache>
                <c:formatCode>#,##0;[Red](#,##0);–</c:formatCode>
                <c:ptCount val="0"/>
              </c:numCache>
            </c:numRef>
          </c:val>
        </c:ser>
        <c:ser>
          <c:idx val="1"/>
          <c:order val="1"/>
          <c:tx>
            <c:v>Cash capital spend</c:v>
          </c:tx>
          <c:spPr>
            <a:ln xmlns:a="http://schemas.openxmlformats.org/drawingml/2006/main" w="24765">
              <a:solidFill>
                <a:srgbClr val="235789"/>
              </a:solidFill>
              <a:prstDash val="solid"/>
            </a:ln>
          </c:spPr>
          <c:marker>
            <c:symbol val="none"/>
          </c:marker>
          <c:cat>
            <c:strRef>
              <c:f>'Chart_Data'!$A$149:$A$155</c:f>
              <c:strCache>
                <c:ptCount val="0"/>
              </c:strCache>
            </c:strRef>
          </c:cat>
          <c:val>
            <c:numRef>
              <c:f>'Chart_Data'!$C$149:$C$155</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plotArea>
      <c:lineChart>
        <c:grouping val="standard"/>
        <c:ser>
          <c:idx val="0"/>
          <c:order val="0"/>
          <c:tx>
            <c:v>Operating cash less capex</c:v>
          </c:tx>
          <c:spPr>
            <a:ln xmlns:a="http://schemas.openxmlformats.org/drawingml/2006/main" w="24765">
              <a:solidFill>
                <a:srgbClr val="0B746D"/>
              </a:solidFill>
              <a:prstDash val="solid"/>
            </a:ln>
          </c:spPr>
          <c:marker>
            <c:symbol val="none"/>
          </c:marker>
          <c:cat>
            <c:strRef>
              <c:f>'Chart_Data'!$A$161:$A$167</c:f>
              <c:strCache>
                <c:ptCount val="0"/>
              </c:strCache>
            </c:strRef>
          </c:cat>
          <c:val>
            <c:numRef>
              <c:f>'Chart_Data'!$B$161:$B$167</c:f>
              <c:numCache>
                <c:formatCode>#,##0;[Red](#,##0);–</c:formatCode>
                <c:ptCount val="0"/>
              </c:numCache>
            </c:numRef>
          </c:val>
        </c:ser>
        <c:ser>
          <c:idx val="1"/>
          <c:order val="1"/>
          <c:tx>
            <c:v>Cash paid as dividends</c:v>
          </c:tx>
          <c:spPr>
            <a:ln xmlns:a="http://schemas.openxmlformats.org/drawingml/2006/main" w="24765">
              <a:solidFill>
                <a:srgbClr val="235789"/>
              </a:solidFill>
              <a:prstDash val="solid"/>
            </a:ln>
          </c:spPr>
          <c:marker>
            <c:symbol val="none"/>
          </c:marker>
          <c:cat>
            <c:strRef>
              <c:f>'Chart_Data'!$A$161:$A$167</c:f>
              <c:strCache>
                <c:ptCount val="0"/>
              </c:strCache>
            </c:strRef>
          </c:cat>
          <c:val>
            <c:numRef>
              <c:f>'Chart_Data'!$C$161:$C$167</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plotArea>
      <c:lineChart>
        <c:grouping val="standard"/>
        <c:ser>
          <c:idx val="0"/>
          <c:order val="0"/>
          <c:tx>
            <c:v>Liquid current investments</c:v>
          </c:tx>
          <c:spPr>
            <a:ln xmlns:a="http://schemas.openxmlformats.org/drawingml/2006/main" w="24765">
              <a:solidFill>
                <a:srgbClr val="0B746D"/>
              </a:solidFill>
              <a:prstDash val="solid"/>
            </a:ln>
          </c:spPr>
          <c:marker>
            <c:symbol val="none"/>
          </c:marker>
          <c:cat>
            <c:strRef>
              <c:f>'Chart_Data'!$A$173:$A$179</c:f>
              <c:strCache>
                <c:ptCount val="0"/>
              </c:strCache>
            </c:strRef>
          </c:cat>
          <c:val>
            <c:numRef>
              <c:f>'Chart_Data'!$B$173:$B$179</c:f>
              <c:numCache>
                <c:formatCode>#,##0;[Red](#,##0);–</c:formatCode>
                <c:ptCount val="0"/>
              </c:numCache>
            </c:numRef>
          </c:val>
        </c:ser>
        <c:ser>
          <c:idx val="1"/>
          <c:order val="1"/>
          <c:tx>
            <c:v>Current borrowings</c:v>
          </c:tx>
          <c:spPr>
            <a:ln xmlns:a="http://schemas.openxmlformats.org/drawingml/2006/main" w="24765">
              <a:solidFill>
                <a:srgbClr val="235789"/>
              </a:solidFill>
              <a:prstDash val="solid"/>
            </a:ln>
          </c:spPr>
          <c:marker>
            <c:symbol val="none"/>
          </c:marker>
          <c:cat>
            <c:strRef>
              <c:f>'Chart_Data'!$A$173:$A$179</c:f>
              <c:strCache>
                <c:ptCount val="0"/>
              </c:strCache>
            </c:strRef>
          </c:cat>
          <c:val>
            <c:numRef>
              <c:f>'Chart_Data'!$C$173:$C$179</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plotArea>
      <c:lineChart>
        <c:grouping val="standard"/>
        <c:ser>
          <c:idx val="0"/>
          <c:order val="0"/>
          <c:tx>
            <c:v>Inventories</c:v>
          </c:tx>
          <c:spPr>
            <a:ln xmlns:a="http://schemas.openxmlformats.org/drawingml/2006/main" w="24765">
              <a:solidFill>
                <a:srgbClr val="0B746D"/>
              </a:solidFill>
              <a:prstDash val="solid"/>
            </a:ln>
          </c:spPr>
          <c:marker>
            <c:symbol val="none"/>
          </c:marker>
          <c:cat>
            <c:strRef>
              <c:f>'Chart_Data'!$A$185:$A$191</c:f>
              <c:strCache>
                <c:ptCount val="0"/>
              </c:strCache>
            </c:strRef>
          </c:cat>
          <c:val>
            <c:numRef>
              <c:f>'Chart_Data'!$B$185:$B$191</c:f>
              <c:numCache>
                <c:formatCode>#,##0;[Red](#,##0);–</c:formatCode>
                <c:ptCount val="0"/>
              </c:numCache>
            </c:numRef>
          </c:val>
        </c:ser>
        <c:ser>
          <c:idx val="1"/>
          <c:order val="1"/>
          <c:tx>
            <c:v>Trade receivables</c:v>
          </c:tx>
          <c:spPr>
            <a:ln xmlns:a="http://schemas.openxmlformats.org/drawingml/2006/main" w="24765">
              <a:solidFill>
                <a:srgbClr val="235789"/>
              </a:solidFill>
              <a:prstDash val="solid"/>
            </a:ln>
          </c:spPr>
          <c:marker>
            <c:symbol val="none"/>
          </c:marker>
          <c:cat>
            <c:strRef>
              <c:f>'Chart_Data'!$A$185:$A$191</c:f>
              <c:strCache>
                <c:ptCount val="0"/>
              </c:strCache>
            </c:strRef>
          </c:cat>
          <c:val>
            <c:numRef>
              <c:f>'Chart_Data'!$C$185:$C$191</c:f>
              <c:numCache>
                <c:formatCode>#,##0;[Red](#,##0);–</c:formatCode>
                <c:ptCount val="0"/>
              </c:numCache>
            </c:numRef>
          </c:val>
        </c:ser>
        <c:ser>
          <c:idx val="2"/>
          <c:order val="2"/>
          <c:tx>
            <c:v>Trade payables</c:v>
          </c:tx>
          <c:spPr>
            <a:ln xmlns:a="http://schemas.openxmlformats.org/drawingml/2006/main" w="24765">
              <a:solidFill>
                <a:srgbClr val="D6A13D"/>
              </a:solidFill>
              <a:prstDash val="solid"/>
            </a:ln>
          </c:spPr>
          <c:marker>
            <c:symbol val="none"/>
          </c:marker>
          <c:cat>
            <c:strRef>
              <c:f>'Chart_Data'!$A$185:$A$191</c:f>
              <c:strCache>
                <c:ptCount val="0"/>
              </c:strCache>
            </c:strRef>
          </c:cat>
          <c:val>
            <c:numRef>
              <c:f>'Chart_Data'!$D$185:$D$191</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plotArea>
      <c:lineChart>
        <c:grouping val="standard"/>
        <c:ser>
          <c:idx val="0"/>
          <c:order val="0"/>
          <c:tx>
            <c:v>EPS, continuing operations</c:v>
          </c:tx>
          <c:spPr>
            <a:ln xmlns:a="http://schemas.openxmlformats.org/drawingml/2006/main" w="24765">
              <a:solidFill>
                <a:srgbClr val="0B746D"/>
              </a:solidFill>
              <a:prstDash val="solid"/>
            </a:ln>
          </c:spPr>
          <c:marker>
            <c:symbol val="none"/>
          </c:marker>
          <c:cat>
            <c:strRef>
              <c:f>'Chart_Data'!$A$197:$A$203</c:f>
              <c:strCache>
                <c:ptCount val="0"/>
              </c:strCache>
            </c:strRef>
          </c:cat>
          <c:val>
            <c:numRef>
              <c:f>'Chart_Data'!$B$197:$B$203</c:f>
              <c:numCache>
                <c:formatCode>₹0.00;[Red](₹0.00);–</c:formatCode>
                <c:ptCount val="0"/>
              </c:numCache>
            </c:numRef>
          </c:val>
        </c:ser>
        <c:ser>
          <c:idx val="1"/>
          <c:order val="1"/>
          <c:tx>
            <c:v>Dividend/share</c:v>
          </c:tx>
          <c:spPr>
            <a:ln xmlns:a="http://schemas.openxmlformats.org/drawingml/2006/main" w="24765">
              <a:solidFill>
                <a:srgbClr val="235789"/>
              </a:solidFill>
              <a:prstDash val="solid"/>
            </a:ln>
          </c:spPr>
          <c:marker>
            <c:symbol val="none"/>
          </c:marker>
          <c:cat>
            <c:strRef>
              <c:f>'Chart_Data'!$A$197:$A$203</c:f>
              <c:strCache>
                <c:ptCount val="0"/>
              </c:strCache>
            </c:strRef>
          </c:cat>
          <c:val>
            <c:numRef>
              <c:f>'Chart_Data'!$C$197:$C$203</c:f>
              <c:numCache>
                <c:formatCode>₹0.00;[Red](₹0.00);–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Red](₹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plotArea>
      <c:lineChart>
        <c:grouping val="standard"/>
        <c:ser>
          <c:idx val="0"/>
          <c:order val="0"/>
          <c:tx>
            <c:v>Standalone continuing PAT margin</c:v>
          </c:tx>
          <c:spPr>
            <a:ln xmlns:a="http://schemas.openxmlformats.org/drawingml/2006/main" w="24765">
              <a:solidFill>
                <a:srgbClr val="0B746D"/>
              </a:solidFill>
              <a:prstDash val="solid"/>
            </a:ln>
          </c:spPr>
          <c:marker>
            <c:symbol val="none"/>
          </c:marker>
          <c:cat>
            <c:strRef>
              <c:f>'Chart_Data'!$A$209:$A$215</c:f>
              <c:strCache>
                <c:ptCount val="0"/>
              </c:strCache>
            </c:strRef>
          </c:cat>
          <c:val>
            <c:numRef>
              <c:f>'Chart_Data'!$B$209:$B$215</c:f>
              <c:numCache>
                <c:formatCode>0.0%;[Red](0.0%);–</c:formatCode>
                <c:ptCount val="0"/>
              </c:numCache>
            </c:numRef>
          </c:val>
        </c:ser>
        <c:ser>
          <c:idx val="1"/>
          <c:order val="1"/>
          <c:tx>
            <c:v>Dividend/earnings payout</c:v>
          </c:tx>
          <c:spPr>
            <a:ln xmlns:a="http://schemas.openxmlformats.org/drawingml/2006/main" w="24765">
              <a:solidFill>
                <a:srgbClr val="235789"/>
              </a:solidFill>
              <a:prstDash val="solid"/>
            </a:ln>
          </c:spPr>
          <c:marker>
            <c:symbol val="none"/>
          </c:marker>
          <c:cat>
            <c:strRef>
              <c:f>'Chart_Data'!$A$209:$A$215</c:f>
              <c:strCache>
                <c:ptCount val="0"/>
              </c:strCache>
            </c:strRef>
          </c:cat>
          <c:val>
            <c:numRef>
              <c:f>'Chart_Data'!$C$209:$C$215</c:f>
              <c:numCache>
                <c:formatCode>0.0%;[Red](0.0%);–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Red](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plotArea>
      <c:barChart>
        <c:barDir val="col"/>
        <c:grouping val="clustered"/>
        <c:varyColors val="0"/>
        <c:ser>
          <c:idx val="0"/>
          <c:order val="0"/>
          <c:tx>
            <c:v>Implied ₹/share</c:v>
          </c:tx>
          <c:spPr>
            <a:solidFill xmlns:a="http://schemas.openxmlformats.org/drawingml/2006/main">
              <a:srgbClr val="0B746D"/>
            </a:solidFill>
          </c:spPr>
          <c:cat>
            <c:strRef>
              <c:f>'Chart_Data'!$A$221:$A$224</c:f>
              <c:strCache>
                <c:ptCount val="0"/>
              </c:strCache>
            </c:strRef>
          </c:cat>
          <c:val>
            <c:numRef>
              <c:f>'Chart_Data'!$B$221:$B$224</c:f>
              <c:numCache>
                <c:formatCode>₹0.00;[Red](₹0.00);–</c:formatCode>
                <c:ptCount val="0"/>
              </c:numCache>
            </c:numRef>
          </c:val>
        </c:ser>
        <c:ser>
          <c:idx val="1"/>
          <c:order val="1"/>
          <c:tx>
            <c:v>Market quote 25 Sep</c:v>
          </c:tx>
          <c:spPr>
            <a:solidFill xmlns:a="http://schemas.openxmlformats.org/drawingml/2006/main">
              <a:srgbClr val="235789"/>
            </a:solidFill>
          </c:spPr>
          <c:cat>
            <c:strRef>
              <c:f>'Chart_Data'!$A$221:$A$224</c:f>
              <c:strCache>
                <c:ptCount val="0"/>
              </c:strCache>
            </c:strRef>
          </c:cat>
          <c:val>
            <c:numRef>
              <c:f>'Chart_Data'!$C$221:$C$224</c:f>
              <c:numCache>
                <c:formatCode>₹0.00;[Red](₹0.00);–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Red](₹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plotArea>
      <c:barChart>
        <c:barDir val="col"/>
        <c:grouping val="clustered"/>
        <c:varyColors val="0"/>
        <c:ser>
          <c:idx val="0"/>
          <c:order val="0"/>
          <c:tx>
            <c:v>Equity value</c:v>
          </c:tx>
          <c:spPr>
            <a:solidFill xmlns:a="http://schemas.openxmlformats.org/drawingml/2006/main">
              <a:srgbClr val="0B746D"/>
            </a:solidFill>
          </c:spPr>
          <c:cat>
            <c:strRef>
              <c:f>'Chart_Data'!$A$230:$A$236</c:f>
              <c:strCache>
                <c:ptCount val="0"/>
              </c:strCache>
            </c:strRef>
          </c:cat>
          <c:val>
            <c:numRef>
              <c:f>'Chart_Data'!$B$230:$B$236</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1.xml><?xml version="1.0" encoding="utf-8"?>
<c:chartSpace xmlns:c="http://schemas.openxmlformats.org/drawingml/2006/chart">
  <c:lang val="en-US"/>
  <c:roundedCorners val="0"/>
  <c:chart>
    <c:plotArea>
      <c:barChart>
        <c:barDir val="col"/>
        <c:grouping val="clustered"/>
        <c:varyColors val="0"/>
        <c:ser>
          <c:idx val="0"/>
          <c:order val="0"/>
          <c:tx>
            <c:v>Eligible projected cash flow</c:v>
          </c:tx>
          <c:spPr>
            <a:solidFill xmlns:a="http://schemas.openxmlformats.org/drawingml/2006/main">
              <a:srgbClr val="0B746D"/>
            </a:solidFill>
          </c:spPr>
          <c:cat>
            <c:strRef>
              <c:f>'Chart_Data'!$A$242:$A$246</c:f>
              <c:strCache>
                <c:ptCount val="0"/>
              </c:strCache>
            </c:strRef>
          </c:cat>
          <c:val>
            <c:numRef>
              <c:f>'Chart_Data'!$B$242:$B$246</c:f>
              <c:numCache>
                <c:formatCode>#,##0;[Red](#,##0);–</c:formatCode>
                <c:ptCount val="0"/>
              </c:numCache>
            </c:numRef>
          </c:val>
        </c:ser>
        <c:ser>
          <c:idx val="1"/>
          <c:order val="1"/>
          <c:tx>
            <c:v>Present value of cash flow</c:v>
          </c:tx>
          <c:spPr>
            <a:solidFill xmlns:a="http://schemas.openxmlformats.org/drawingml/2006/main">
              <a:srgbClr val="235789"/>
            </a:solidFill>
          </c:spPr>
          <c:cat>
            <c:strRef>
              <c:f>'Chart_Data'!$A$242:$A$246</c:f>
              <c:strCache>
                <c:ptCount val="0"/>
              </c:strCache>
            </c:strRef>
          </c:cat>
          <c:val>
            <c:numRef>
              <c:f>'Chart_Data'!$C$242:$C$246</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plotArea>
      <c:barChart>
        <c:barDir val="col"/>
        <c:grouping val="clustered"/>
        <c:varyColors val="0"/>
        <c:ser>
          <c:idx val="0"/>
          <c:order val="0"/>
          <c:tx>
            <c:v>Value</c:v>
          </c:tx>
          <c:spPr>
            <a:solidFill xmlns:a="http://schemas.openxmlformats.org/drawingml/2006/main">
              <a:srgbClr val="0B746D"/>
            </a:solidFill>
          </c:spPr>
          <c:cat>
            <c:strRef>
              <c:f>'Chart_Data'!$A$252:$A$255</c:f>
              <c:strCache>
                <c:ptCount val="0"/>
              </c:strCache>
            </c:strRef>
          </c:cat>
          <c:val>
            <c:numRef>
              <c:f>'Chart_Data'!$B$252:$B$255</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R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3.xml><?xml version="1.0" encoding="utf-8"?>
<c:chartSpace xmlns:c="http://schemas.openxmlformats.org/drawingml/2006/chart">
  <c:lang val="en-US"/>
  <c:roundedCorners val="0"/>
  <c:chart>
    <c:plotArea>
      <c:barChart>
        <c:barDir val="col"/>
        <c:grouping val="clustered"/>
        <c:varyColors val="0"/>
        <c:ser>
          <c:idx val="0"/>
          <c:order val="0"/>
          <c:tx>
            <c:v>TTM or illustrative P/E</c:v>
          </c:tx>
          <c:spPr>
            <a:solidFill xmlns:a="http://schemas.openxmlformats.org/drawingml/2006/main">
              <a:srgbClr val="0B746D"/>
            </a:solidFill>
          </c:spPr>
          <c:cat>
            <c:strRef>
              <c:f>'Chart_Data'!$A$261:$A$266</c:f>
              <c:strCache>
                <c:ptCount val="0"/>
              </c:strCache>
            </c:strRef>
          </c:cat>
          <c:val>
            <c:numRef>
              <c:f>'Chart_Data'!$B$261:$B$266</c:f>
              <c:numCache>
                <c:formatCode>0.0"x";[Red](0.0"x");–</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x&quot;;[Red](0.0&quot;x&quot;);–"/>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4.xml><?xml version="1.0" encoding="utf-8"?>
<c:chartSpace xmlns:c="http://schemas.openxmlformats.org/drawingml/2006/chart">
  <c:lang val="en-US"/>
  <c:roundedCorners val="0"/>
  <c:chart>
    <c:plotArea>
      <c:lineChart>
        <c:grouping val="standard"/>
        <c:ser>
          <c:idx val="0"/>
          <c:order val="0"/>
          <c:tx>
            <c:v>g minus 1.5pp</c:v>
          </c:tx>
          <c:spPr>
            <a:ln xmlns:a="http://schemas.openxmlformats.org/drawingml/2006/main" w="24765">
              <a:solidFill>
                <a:srgbClr val="0B746D"/>
              </a:solidFill>
              <a:prstDash val="solid"/>
            </a:ln>
          </c:spPr>
          <c:marker>
            <c:symbol val="none"/>
          </c:marker>
          <c:cat>
            <c:strRef>
              <c:f>'Chart_Data'!$A$272:$A$278</c:f>
              <c:strCache>
                <c:ptCount val="0"/>
              </c:strCache>
            </c:strRef>
          </c:cat>
          <c:val>
            <c:numRef>
              <c:f>'Chart_Data'!$B$272:$B$278</c:f>
              <c:numCache>
                <c:formatCode>₹0.00;[Red](₹0.00);–</c:formatCode>
                <c:ptCount val="0"/>
              </c:numCache>
            </c:numRef>
          </c:val>
        </c:ser>
        <c:ser>
          <c:idx val="1"/>
          <c:order val="1"/>
          <c:tx>
            <c:v>Base g</c:v>
          </c:tx>
          <c:spPr>
            <a:ln xmlns:a="http://schemas.openxmlformats.org/drawingml/2006/main" w="24765">
              <a:solidFill>
                <a:srgbClr val="235789"/>
              </a:solidFill>
              <a:prstDash val="solid"/>
            </a:ln>
          </c:spPr>
          <c:marker>
            <c:symbol val="none"/>
          </c:marker>
          <c:cat>
            <c:strRef>
              <c:f>'Chart_Data'!$A$272:$A$278</c:f>
              <c:strCache>
                <c:ptCount val="0"/>
              </c:strCache>
            </c:strRef>
          </c:cat>
          <c:val>
            <c:numRef>
              <c:f>'Chart_Data'!$C$272:$C$278</c:f>
              <c:numCache>
                <c:formatCode>₹0.00;[Red](₹0.00);–</c:formatCode>
                <c:ptCount val="0"/>
              </c:numCache>
            </c:numRef>
          </c:val>
        </c:ser>
        <c:ser>
          <c:idx val="2"/>
          <c:order val="2"/>
          <c:tx>
            <c:v>g plus 1.5pp</c:v>
          </c:tx>
          <c:spPr>
            <a:ln xmlns:a="http://schemas.openxmlformats.org/drawingml/2006/main" w="24765">
              <a:solidFill>
                <a:srgbClr val="D6A13D"/>
              </a:solidFill>
              <a:prstDash val="solid"/>
            </a:ln>
          </c:spPr>
          <c:marker>
            <c:symbol val="none"/>
          </c:marker>
          <c:cat>
            <c:strRef>
              <c:f>'Chart_Data'!$A$272:$A$278</c:f>
              <c:strCache>
                <c:ptCount val="0"/>
              </c:strCache>
            </c:strRef>
          </c:cat>
          <c:val>
            <c:numRef>
              <c:f>'Chart_Data'!$D$272:$D$278</c:f>
              <c:numCache>
                <c:formatCode>₹0.00;[Red](₹0.00);–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Red](₹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10</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999a211b0d42be"/>
        </a:graphicData>
      </a:graphic>
    </xdr:graphicFrame>
    <xdr:clientData/>
  </xdr:twoCellAnchor>
  <xdr:twoCellAnchor>
    <xdr:from>
      <xdr:col>13</xdr:col>
      <xdr:colOff>0</xdr:colOff>
      <xdr:row>10</xdr:row>
      <xdr:rowOff>0</xdr:rowOff>
    </xdr:from>
    <xdr:to>
      <xdr:col>24</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262538b5634e70"/>
        </a:graphicData>
      </a:graphic>
    </xdr:graphicFrame>
    <xdr:clientData/>
  </xdr:twoCellAnchor>
  <xdr:twoCellAnchor>
    <xdr:from>
      <xdr:col>1</xdr:col>
      <xdr:colOff>0</xdr:colOff>
      <xdr:row>33</xdr:row>
      <xdr:rowOff>0</xdr:rowOff>
    </xdr:from>
    <xdr:to>
      <xdr:col>12</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13aa77e0444ee4"/>
        </a:graphicData>
      </a:graphic>
    </xdr:graphicFrame>
    <xdr:clientData/>
  </xdr:twoCellAnchor>
  <xdr:twoCellAnchor>
    <xdr:from>
      <xdr:col>13</xdr:col>
      <xdr:colOff>0</xdr:colOff>
      <xdr:row>33</xdr:row>
      <xdr:rowOff>0</xdr:rowOff>
    </xdr:from>
    <xdr:to>
      <xdr:col>24</xdr:col>
      <xdr:colOff>0</xdr:colOff>
      <xdr:row>52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b28e0bd3e5474c"/>
        </a:graphicData>
      </a:graphic>
    </xdr:graphicFrame>
    <xdr:clientData/>
  </xdr:twoCellAnchor>
  <xdr:twoCellAnchor>
    <xdr:from>
      <xdr:col>1</xdr:col>
      <xdr:colOff>0</xdr:colOff>
      <xdr:row>56</xdr:row>
      <xdr:rowOff>0</xdr:rowOff>
    </xdr:from>
    <xdr:to>
      <xdr:col>12</xdr:col>
      <xdr:colOff>0</xdr:colOff>
      <xdr:row>75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4010d8e0a64de0"/>
        </a:graphicData>
      </a:graphic>
    </xdr:graphicFrame>
    <xdr:clientData/>
  </xdr:twoCellAnchor>
  <xdr:twoCellAnchor>
    <xdr:from>
      <xdr:col>13</xdr:col>
      <xdr:colOff>0</xdr:colOff>
      <xdr:row>56</xdr:row>
      <xdr:rowOff>0</xdr:rowOff>
    </xdr:from>
    <xdr:to>
      <xdr:col>24</xdr:col>
      <xdr:colOff>0</xdr:colOff>
      <xdr:row>75</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b4825dad831465f"/>
        </a:graphicData>
      </a:graphic>
    </xdr:graphicFrame>
    <xdr:clientData/>
  </xdr:twoCellAnchor>
  <xdr:twoCellAnchor>
    <xdr:from>
      <xdr:col>1</xdr:col>
      <xdr:colOff>0</xdr:colOff>
      <xdr:row>82</xdr:row>
      <xdr:rowOff>0</xdr:rowOff>
    </xdr:from>
    <xdr:to>
      <xdr:col>12</xdr:col>
      <xdr:colOff>0</xdr:colOff>
      <xdr:row>101</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bd6173cc7b423c"/>
        </a:graphicData>
      </a:graphic>
    </xdr:graphicFrame>
    <xdr:clientData/>
  </xdr:twoCellAnchor>
  <xdr:twoCellAnchor>
    <xdr:from>
      <xdr:col>13</xdr:col>
      <xdr:colOff>0</xdr:colOff>
      <xdr:row>82</xdr:row>
      <xdr:rowOff>0</xdr:rowOff>
    </xdr:from>
    <xdr:to>
      <xdr:col>24</xdr:col>
      <xdr:colOff>0</xdr:colOff>
      <xdr:row>101</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85abefb9a04fc4"/>
        </a:graphicData>
      </a:graphic>
    </xdr:graphicFrame>
    <xdr:clientData/>
  </xdr:twoCellAnchor>
  <xdr:twoCellAnchor>
    <xdr:from>
      <xdr:col>1</xdr:col>
      <xdr:colOff>0</xdr:colOff>
      <xdr:row>105</xdr:row>
      <xdr:rowOff>0</xdr:rowOff>
    </xdr:from>
    <xdr:to>
      <xdr:col>12</xdr:col>
      <xdr:colOff>0</xdr:colOff>
      <xdr:row>124</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0eeb2923054397"/>
        </a:graphicData>
      </a:graphic>
    </xdr:graphicFrame>
    <xdr:clientData/>
  </xdr:twoCellAnchor>
  <xdr:twoCellAnchor>
    <xdr:from>
      <xdr:col>13</xdr:col>
      <xdr:colOff>0</xdr:colOff>
      <xdr:row>105</xdr:row>
      <xdr:rowOff>0</xdr:rowOff>
    </xdr:from>
    <xdr:to>
      <xdr:col>24</xdr:col>
      <xdr:colOff>0</xdr:colOff>
      <xdr:row>124</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17e353b99b454b"/>
        </a:graphicData>
      </a:graphic>
    </xdr:graphicFrame>
    <xdr:clientData/>
  </xdr:twoCellAnchor>
  <xdr:twoCellAnchor>
    <xdr:from>
      <xdr:col>1</xdr:col>
      <xdr:colOff>0</xdr:colOff>
      <xdr:row>128</xdr:row>
      <xdr:rowOff>0</xdr:rowOff>
    </xdr:from>
    <xdr:to>
      <xdr:col>12</xdr:col>
      <xdr:colOff>0</xdr:colOff>
      <xdr:row>147</xdr:row>
      <xdr:rowOff>0</xdr:rowOff>
    </xdr:to>
    <xdr:graphicFrame macro="">
      <xdr:nvGraphicFramePr>
        <xdr:cNvPr id="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1bff176e734ecd"/>
        </a:graphicData>
      </a:graphic>
    </xdr:graphicFrame>
    <xdr:clientData/>
  </xdr:twoCellAnchor>
  <xdr:twoCellAnchor>
    <xdr:from>
      <xdr:col>13</xdr:col>
      <xdr:colOff>0</xdr:colOff>
      <xdr:row>128</xdr:row>
      <xdr:rowOff>0</xdr:rowOff>
    </xdr:from>
    <xdr:to>
      <xdr:col>24</xdr:col>
      <xdr:colOff>0</xdr:colOff>
      <xdr:row>147</xdr:row>
      <xdr:rowOff>0</xdr:rowOff>
    </xdr:to>
    <xdr:graphicFrame macro="">
      <xdr:nvGraphicFramePr>
        <xdr:cNvPr id="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382669fddc4b99"/>
        </a:graphicData>
      </a:graphic>
    </xdr:graphicFrame>
    <xdr:clientData/>
  </xdr:twoCellAnchor>
  <xdr:twoCellAnchor>
    <xdr:from>
      <xdr:col>1</xdr:col>
      <xdr:colOff>0</xdr:colOff>
      <xdr:row>154</xdr:row>
      <xdr:rowOff>0</xdr:rowOff>
    </xdr:from>
    <xdr:to>
      <xdr:col>12</xdr:col>
      <xdr:colOff>0</xdr:colOff>
      <xdr:row>173</xdr:row>
      <xdr:rowOff>0</xdr:rowOff>
    </xdr:to>
    <xdr:graphicFrame macro="">
      <xdr:nvGraphicFramePr>
        <xdr:cNvPr id="1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084359e4df409c"/>
        </a:graphicData>
      </a:graphic>
    </xdr:graphicFrame>
    <xdr:clientData/>
  </xdr:twoCellAnchor>
  <xdr:twoCellAnchor>
    <xdr:from>
      <xdr:col>13</xdr:col>
      <xdr:colOff>0</xdr:colOff>
      <xdr:row>154</xdr:row>
      <xdr:rowOff>0</xdr:rowOff>
    </xdr:from>
    <xdr:to>
      <xdr:col>24</xdr:col>
      <xdr:colOff>0</xdr:colOff>
      <xdr:row>173</xdr:row>
      <xdr:rowOff>0</xdr:rowOff>
    </xdr:to>
    <xdr:graphicFrame macro="">
      <xdr:nvGraphicFramePr>
        <xdr:cNvPr id="1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12f2d8180c456b"/>
        </a:graphicData>
      </a:graphic>
    </xdr:graphicFrame>
    <xdr:clientData/>
  </xdr:twoCellAnchor>
  <xdr:twoCellAnchor>
    <xdr:from>
      <xdr:col>1</xdr:col>
      <xdr:colOff>0</xdr:colOff>
      <xdr:row>177</xdr:row>
      <xdr:rowOff>0</xdr:rowOff>
    </xdr:from>
    <xdr:to>
      <xdr:col>12</xdr:col>
      <xdr:colOff>0</xdr:colOff>
      <xdr:row>196</xdr:row>
      <xdr:rowOff>0</xdr:rowOff>
    </xdr:to>
    <xdr:graphicFrame macro="">
      <xdr:nvGraphicFramePr>
        <xdr:cNvPr id="1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1fb622f42044db"/>
        </a:graphicData>
      </a:graphic>
    </xdr:graphicFrame>
    <xdr:clientData/>
  </xdr:twoCellAnchor>
  <xdr:twoCellAnchor>
    <xdr:from>
      <xdr:col>13</xdr:col>
      <xdr:colOff>0</xdr:colOff>
      <xdr:row>177</xdr:row>
      <xdr:rowOff>0</xdr:rowOff>
    </xdr:from>
    <xdr:to>
      <xdr:col>24</xdr:col>
      <xdr:colOff>0</xdr:colOff>
      <xdr:row>196</xdr:row>
      <xdr:rowOff>0</xdr:rowOff>
    </xdr:to>
    <xdr:graphicFrame macro="">
      <xdr:nvGraphicFramePr>
        <xdr:cNvPr id="1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0a6d1af52e44a8"/>
        </a:graphicData>
      </a:graphic>
    </xdr:graphicFrame>
    <xdr:clientData/>
  </xdr:twoCellAnchor>
  <xdr:twoCellAnchor>
    <xdr:from>
      <xdr:col>1</xdr:col>
      <xdr:colOff>0</xdr:colOff>
      <xdr:row>200</xdr:row>
      <xdr:rowOff>0</xdr:rowOff>
    </xdr:from>
    <xdr:to>
      <xdr:col>12</xdr:col>
      <xdr:colOff>0</xdr:colOff>
      <xdr:row>219</xdr:row>
      <xdr:rowOff>0</xdr:rowOff>
    </xdr:to>
    <xdr:graphicFrame macro="">
      <xdr:nvGraphicFramePr>
        <xdr:cNvPr id="1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063eed4cd14683"/>
        </a:graphicData>
      </a:graphic>
    </xdr:graphicFrame>
    <xdr:clientData/>
  </xdr:twoCellAnchor>
  <xdr:twoCellAnchor>
    <xdr:from>
      <xdr:col>13</xdr:col>
      <xdr:colOff>0</xdr:colOff>
      <xdr:row>200</xdr:row>
      <xdr:rowOff>0</xdr:rowOff>
    </xdr:from>
    <xdr:to>
      <xdr:col>24</xdr:col>
      <xdr:colOff>0</xdr:colOff>
      <xdr:row>219</xdr:row>
      <xdr:rowOff>0</xdr:rowOff>
    </xdr:to>
    <xdr:graphicFrame macro="">
      <xdr:nvGraphicFramePr>
        <xdr:cNvPr id="1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b1be2a97e94bc5"/>
        </a:graphicData>
      </a:graphic>
    </xdr:graphicFrame>
    <xdr:clientData/>
  </xdr:twoCellAnchor>
  <xdr:twoCellAnchor>
    <xdr:from>
      <xdr:col>1</xdr:col>
      <xdr:colOff>0</xdr:colOff>
      <xdr:row>226</xdr:row>
      <xdr:rowOff>0</xdr:rowOff>
    </xdr:from>
    <xdr:to>
      <xdr:col>12</xdr:col>
      <xdr:colOff>0</xdr:colOff>
      <xdr:row>245</xdr:row>
      <xdr:rowOff>0</xdr:rowOff>
    </xdr:to>
    <xdr:graphicFrame macro="">
      <xdr:nvGraphicFramePr>
        <xdr:cNvPr id="1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af1552586c42cc"/>
        </a:graphicData>
      </a:graphic>
    </xdr:graphicFrame>
    <xdr:clientData/>
  </xdr:twoCellAnchor>
  <xdr:twoCellAnchor>
    <xdr:from>
      <xdr:col>13</xdr:col>
      <xdr:colOff>0</xdr:colOff>
      <xdr:row>226</xdr:row>
      <xdr:rowOff>0</xdr:rowOff>
    </xdr:from>
    <xdr:to>
      <xdr:col>24</xdr:col>
      <xdr:colOff>0</xdr:colOff>
      <xdr:row>245</xdr:row>
      <xdr:rowOff>0</xdr:rowOff>
    </xdr:to>
    <xdr:graphicFrame macro="">
      <xdr:nvGraphicFramePr>
        <xdr:cNvPr id="2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fe4264eeb34e9f"/>
        </a:graphicData>
      </a:graphic>
    </xdr:graphicFrame>
    <xdr:clientData/>
  </xdr:twoCellAnchor>
  <xdr:twoCellAnchor>
    <xdr:from>
      <xdr:col>1</xdr:col>
      <xdr:colOff>0</xdr:colOff>
      <xdr:row>249</xdr:row>
      <xdr:rowOff>0</xdr:rowOff>
    </xdr:from>
    <xdr:to>
      <xdr:col>12</xdr:col>
      <xdr:colOff>0</xdr:colOff>
      <xdr:row>268</xdr:row>
      <xdr:rowOff>0</xdr:rowOff>
    </xdr:to>
    <xdr:graphicFrame macro="">
      <xdr:nvGraphicFramePr>
        <xdr:cNvPr id="2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c364cb90014860"/>
        </a:graphicData>
      </a:graphic>
    </xdr:graphicFrame>
    <xdr:clientData/>
  </xdr:twoCellAnchor>
  <xdr:twoCellAnchor>
    <xdr:from>
      <xdr:col>13</xdr:col>
      <xdr:colOff>0</xdr:colOff>
      <xdr:row>249</xdr:row>
      <xdr:rowOff>0</xdr:rowOff>
    </xdr:from>
    <xdr:to>
      <xdr:col>24</xdr:col>
      <xdr:colOff>0</xdr:colOff>
      <xdr:row>268</xdr:row>
      <xdr:rowOff>0</xdr:rowOff>
    </xdr:to>
    <xdr:graphicFrame macro="">
      <xdr:nvGraphicFramePr>
        <xdr:cNvPr id="2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a5d6e3c19c4976"/>
        </a:graphicData>
      </a:graphic>
    </xdr:graphicFrame>
    <xdr:clientData/>
  </xdr:twoCellAnchor>
  <xdr:twoCellAnchor>
    <xdr:from>
      <xdr:col>1</xdr:col>
      <xdr:colOff>0</xdr:colOff>
      <xdr:row>272</xdr:row>
      <xdr:rowOff>0</xdr:rowOff>
    </xdr:from>
    <xdr:to>
      <xdr:col>12</xdr:col>
      <xdr:colOff>0</xdr:colOff>
      <xdr:row>291</xdr:row>
      <xdr:rowOff>0</xdr:rowOff>
    </xdr:to>
    <xdr:graphicFrame macro="">
      <xdr:nvGraphicFramePr>
        <xdr:cNvPr id="2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d2407098984079"/>
        </a:graphicData>
      </a:graphic>
    </xdr:graphicFrame>
    <xdr:clientData/>
  </xdr:twoCellAnchor>
  <xdr:twoCellAnchor>
    <xdr:from>
      <xdr:col>13</xdr:col>
      <xdr:colOff>0</xdr:colOff>
      <xdr:row>272</xdr:row>
      <xdr:rowOff>0</xdr:rowOff>
    </xdr:from>
    <xdr:to>
      <xdr:col>24</xdr:col>
      <xdr:colOff>0</xdr:colOff>
      <xdr:row>291</xdr:row>
      <xdr:rowOff>0</xdr:rowOff>
    </xdr:to>
    <xdr:graphicFrame macro="">
      <xdr:nvGraphicFramePr>
        <xdr:cNvPr id="2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fd3141d8470428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4.xml.rels>&#65279;<?xml version="1.0" encoding="utf-8"?><Relationships xmlns="http://schemas.openxmlformats.org/package/2006/relationships"><Relationship Type="http://schemas.openxmlformats.org/officeDocument/2006/relationships/drawing" Target="/xl/drawings/drawing1.xml" Id="R8ca6a1bb7b5b49f3"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ITC LIMITED  |  INITIATING COVERAGE MODEL</x:v>
      </x:c>
      <x:c r="C2" s="4"/>
      <x:c r="D2" s="4"/>
      <x:c r="E2" s="4"/>
      <x:c r="F2" s="4"/>
      <x:c r="G2" s="4"/>
      <x:c r="H2" s="4"/>
      <x:c r="I2" s="4"/>
    </x:row>
    <x:row r="3" ht="23" customHeight="1">
      <x:c r="B3" s="9" t="str">
        <x:v>TASK 2: integrated historical/forecast standalone model  •  research cut-off 28 September 2026</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19" customHeight="1">
      <x:c r="B5" s="22"/>
      <x:c r="C5" s="23"/>
      <x:c r="D5" s="23"/>
      <x:c r="E5" s="23"/>
      <x:c r="F5" s="23"/>
      <x:c r="G5" s="23"/>
      <x:c r="H5" s="23"/>
      <x:c r="I5" s="23"/>
    </x:row>
    <x:row r="6" ht="21" customHeight="1">
      <x:c r="B6" s="32" t="str">
        <x:v>WORKBOOK CONTROL PANEL</x:v>
      </x:c>
      <x:c r="C6" s="33"/>
      <x:c r="D6" s="33"/>
      <x:c r="E6" s="33"/>
      <x:c r="F6" s="33"/>
      <x:c r="G6" s="33"/>
      <x:c r="H6" s="33"/>
      <x:c r="I6" s="33"/>
    </x:row>
    <x:row r="7" ht="19" customHeight="1">
      <x:c r="B7" s="22"/>
      <x:c r="C7" s="23"/>
      <x:c r="D7" s="23"/>
      <x:c r="E7" s="23"/>
      <x:c r="F7" s="23"/>
      <x:c r="G7" s="23"/>
      <x:c r="H7" s="23"/>
      <x:c r="I7" s="23"/>
    </x:row>
    <x:row r="8" ht="29" customHeight="1">
      <x:c r="B8" s="22" t="str">
        <x:v>Active case / choose Base, Bull or Bear</x:v>
      </x:c>
      <x:c r="C8" s="23"/>
      <x:c r="D8" s="66" t="str">
        <x:v>Base</x:v>
      </x:c>
      <x:c r="E8" s="23"/>
      <x:c r="F8" s="23"/>
      <x:c r="G8" s="23"/>
      <x:c r="H8" s="23"/>
      <x:c r="I8" s="23"/>
    </x:row>
    <x:row r="9" ht="19" customHeight="1">
      <x:c r="B9" s="22"/>
      <x:c r="C9" s="23"/>
      <x:c r="D9" s="23"/>
      <x:c r="E9" s="23"/>
      <x:c r="F9" s="23"/>
      <x:c r="G9" s="23"/>
      <x:c r="H9" s="23"/>
      <x:c r="I9" s="23"/>
    </x:row>
    <x:row r="10" ht="19" customHeight="1">
      <x:c r="B10" s="22" t="str">
        <x:v>History and forecasts</x:v>
      </x:c>
      <x:c r="C10" s="23" t="str">
        <x:v>FY25–FY26 audited / FY27–FY31 analyst forecasts (standalone)</x:v>
      </x:c>
      <x:c r="D10" s="23"/>
      <x:c r="E10" s="23"/>
      <x:c r="F10" s="23"/>
      <x:c r="G10" s="23"/>
      <x:c r="H10" s="23"/>
      <x:c r="I10" s="23"/>
    </x:row>
    <x:row r="11" ht="19" customHeight="1">
      <x:c r="B11" s="22" t="str">
        <x:v>Latest interim anchor</x:v>
      </x:c>
      <x:c r="C11" s="23" t="str">
        <x:v>Q1 FY27 (June 2026); annual forecast is NOT a straight quarter annualisation</x:v>
      </x:c>
      <x:c r="D11" s="23"/>
      <x:c r="E11" s="23"/>
      <x:c r="F11" s="23"/>
      <x:c r="G11" s="23"/>
      <x:c r="H11" s="23"/>
      <x:c r="I11" s="23"/>
    </x:row>
    <x:row r="12" ht="19" customHeight="1">
      <x:c r="B12" s="22" t="str">
        <x:v>Currency / scale</x:v>
      </x:c>
      <x:c r="C12" s="23" t="str">
        <x:v>INR / ₹ crore</x:v>
      </x:c>
      <x:c r="D12" s="23"/>
      <x:c r="E12" s="23"/>
      <x:c r="F12" s="23"/>
      <x:c r="G12" s="23"/>
      <x:c r="H12" s="23"/>
      <x:c r="I12" s="23"/>
    </x:row>
    <x:row r="13" ht="19" customHeight="1">
      <x:c r="B13" s="22" t="str">
        <x:v>Accounting basis</x:v>
      </x:c>
      <x:c r="C13" s="23" t="str">
        <x:v>Standalone  |  excise included in gross revenue, then shown as an expense</x:v>
      </x:c>
      <x:c r="D13" s="23"/>
      <x:c r="E13" s="23"/>
      <x:c r="F13" s="23"/>
      <x:c r="G13" s="23"/>
      <x:c r="H13" s="23"/>
      <x:c r="I13" s="23"/>
    </x:row>
    <x:row r="14" ht="19" customHeight="1">
      <x:c r="B14" s="22"/>
      <x:c r="C14" s="23"/>
      <x:c r="D14" s="23"/>
      <x:c r="E14" s="23"/>
      <x:c r="F14" s="23"/>
      <x:c r="G14" s="23"/>
      <x:c r="H14" s="23"/>
      <x:c r="I14" s="23"/>
    </x:row>
    <x:row r="15" ht="19" customHeight="1">
      <x:c r="B15" s="22"/>
      <x:c r="C15" s="23"/>
      <x:c r="D15" s="23"/>
      <x:c r="E15" s="23"/>
      <x:c r="F15" s="23"/>
      <x:c r="G15" s="23"/>
      <x:c r="H15" s="23"/>
      <x:c r="I15" s="23"/>
    </x:row>
    <x:row r="16" ht="21" customHeight="1">
      <x:c r="B16" s="32" t="str">
        <x:v>MODEL INTEGRITY / AT-A-GLANCE</x:v>
      </x:c>
      <x:c r="C16" s="33"/>
      <x:c r="D16" s="33"/>
      <x:c r="E16" s="33"/>
      <x:c r="F16" s="33"/>
      <x:c r="G16" s="33"/>
      <x:c r="H16" s="33"/>
      <x:c r="I16" s="33"/>
    </x:row>
    <x:row r="17" ht="19" customHeight="1">
      <x:c r="B17" s="22"/>
      <x:c r="C17" s="23"/>
      <x:c r="D17" s="23"/>
      <x:c r="E17" s="23"/>
      <x:c r="F17" s="23"/>
      <x:c r="G17" s="23"/>
      <x:c r="H17" s="23"/>
      <x:c r="I17" s="23"/>
    </x:row>
    <x:row r="18" ht="19" customHeight="1">
      <x:c r="B18" s="22" t="str">
        <x:v>FY26 ex-excise revenue</x:v>
      </x:c>
      <x:c r="C18" s="23"/>
      <x:c r="D18" s="74" t="n">
        <x:f>Income_Statement!D8</x:f>
        <x:v>71983.78</x:v>
      </x:c>
      <x:c r="E18" s="23"/>
      <x:c r="F18" s="23"/>
      <x:c r="G18" s="23"/>
      <x:c r="H18" s="23"/>
      <x:c r="I18" s="23"/>
    </x:row>
    <x:row r="19" ht="19" customHeight="1">
      <x:c r="B19" s="22" t="str">
        <x:v>FY27E ex-excise revenue</x:v>
      </x:c>
      <x:c r="C19" s="23"/>
      <x:c r="D19" s="74" t="n">
        <x:f>Income_Statement!E8</x:f>
        <x:v>64640.91332218559</x:v>
      </x:c>
      <x:c r="E19" s="23"/>
      <x:c r="F19" s="23"/>
      <x:c r="G19" s="23"/>
      <x:c r="H19" s="23"/>
      <x:c r="I19" s="23"/>
    </x:row>
    <x:row r="20" ht="19" customHeight="1">
      <x:c r="B20" s="22" t="str">
        <x:v>FY26 continuing profit</x:v>
      </x:c>
      <x:c r="C20" s="23"/>
      <x:c r="D20" s="74" t="n">
        <x:f>Income_Statement!D25</x:f>
        <x:v>20286.420000000002</x:v>
      </x:c>
      <x:c r="E20" s="23"/>
      <x:c r="F20" s="23"/>
      <x:c r="G20" s="23"/>
      <x:c r="H20" s="23"/>
      <x:c r="I20" s="23"/>
    </x:row>
    <x:row r="21" ht="19" customHeight="1">
      <x:c r="B21" s="22" t="str">
        <x:v>FY27E continuing profit</x:v>
      </x:c>
      <x:c r="C21" s="23"/>
      <x:c r="D21" s="74" t="n">
        <x:f>Income_Statement!E25</x:f>
        <x:v>15350.531576050002</x:v>
      </x:c>
      <x:c r="E21" s="23"/>
      <x:c r="F21" s="23"/>
      <x:c r="G21" s="23"/>
      <x:c r="H21" s="23"/>
      <x:c r="I21" s="23"/>
    </x:row>
    <x:row r="22" ht="19" customHeight="1">
      <x:c r="B22" s="22" t="str">
        <x:v>FY27E cigarette segment EBIT</x:v>
      </x:c>
      <x:c r="C22" s="23"/>
      <x:c r="D22" s="74" t="n">
        <x:f>Segments!E21</x:f>
        <x:v>14471.471520000001</x:v>
      </x:c>
      <x:c r="E22" s="23"/>
      <x:c r="F22" s="23"/>
      <x:c r="G22" s="23"/>
      <x:c r="H22" s="23"/>
      <x:c r="I22" s="23"/>
    </x:row>
    <x:row r="23" ht="19" customHeight="1">
      <x:c r="B23" s="22" t="str">
        <x:v>FY27E after-capex cash generation</x:v>
      </x:c>
      <x:c r="C23" s="23"/>
      <x:c r="D23" s="74" t="n">
        <x:f>Cash_Flow!E21</x:f>
        <x:v>14735.209051245009</x:v>
      </x:c>
      <x:c r="E23" s="23"/>
      <x:c r="F23" s="23"/>
      <x:c r="G23" s="23"/>
      <x:c r="H23" s="23"/>
      <x:c r="I23" s="23"/>
    </x:row>
    <x:row r="24" ht="19" customHeight="1">
      <x:c r="B24" s="22" t="str">
        <x:v>FY27E year-end current investments</x:v>
      </x:c>
      <x:c r="C24" s="23"/>
      <x:c r="D24" s="74" t="n">
        <x:f>Balance_Sheet!E6</x:f>
        <x:v>17624.597211602508</x:v>
      </x:c>
      <x:c r="E24" s="23"/>
      <x:c r="F24" s="23"/>
      <x:c r="G24" s="23"/>
      <x:c r="H24" s="23"/>
      <x:c r="I24" s="23"/>
    </x:row>
    <x:row r="25" ht="19" customHeight="1">
      <x:c r="B25" s="22" t="str">
        <x:v>Maximum FY27–FY31 balance-sheet check</x:v>
      </x:c>
      <x:c r="C25" s="23"/>
      <x:c r="D25" s="76" t="n">
        <x:f>Model_Checks!I19</x:f>
        <x:v>0</x:v>
      </x:c>
      <x:c r="E25" s="23"/>
      <x:c r="F25" s="23"/>
      <x:c r="G25" s="23"/>
      <x:c r="H25" s="23"/>
      <x:c r="I25" s="23"/>
    </x:row>
    <x:row r="26" ht="19" customHeight="1">
      <x:c r="B26" s="22"/>
      <x:c r="C26" s="23"/>
      <x:c r="D26" s="23"/>
      <x:c r="E26" s="23"/>
      <x:c r="F26" s="23"/>
      <x:c r="G26" s="23"/>
      <x:c r="H26" s="23"/>
      <x:c r="I26" s="23"/>
    </x:row>
    <x:row r="27" ht="19" customHeight="1">
      <x:c r="B27" s="22"/>
      <x:c r="C27" s="23"/>
      <x:c r="D27" s="23"/>
      <x:c r="E27" s="23"/>
      <x:c r="F27" s="23"/>
      <x:c r="G27" s="23"/>
      <x:c r="H27" s="23"/>
      <x:c r="I27" s="23"/>
    </x:row>
    <x:row r="28" ht="21" customHeight="1">
      <x:c r="B28" s="32" t="str">
        <x:v>COLOR CONVENTIONS &amp; WORKING RULES</x:v>
      </x:c>
      <x:c r="C28" s="33"/>
      <x:c r="D28" s="33"/>
      <x:c r="E28" s="33"/>
      <x:c r="F28" s="33"/>
      <x:c r="G28" s="33"/>
      <x:c r="H28" s="33"/>
      <x:c r="I28" s="33"/>
    </x:row>
    <x:row r="29" ht="19" customHeight="1">
      <x:c r="B29" s="22"/>
      <x:c r="C29" s="23"/>
      <x:c r="D29" s="23"/>
      <x:c r="E29" s="23"/>
      <x:c r="F29" s="23"/>
      <x:c r="G29" s="23"/>
      <x:c r="H29" s="23"/>
      <x:c r="I29" s="23"/>
    </x:row>
    <x:row r="30" ht="19" customHeight="1">
      <x:c r="B30" s="78" t="str">
        <x:v>BLUE</x:v>
      </x:c>
      <x:c r="C30" s="23" t="str">
        <x:v>Historical source data &amp; analyst assumptions (editable).</x:v>
      </x:c>
      <x:c r="D30" s="23"/>
      <x:c r="E30" s="23"/>
      <x:c r="F30" s="23"/>
      <x:c r="G30" s="23"/>
      <x:c r="H30" s="23"/>
      <x:c r="I30" s="23"/>
    </x:row>
    <x:row r="31" ht="19" customHeight="1">
      <x:c r="B31" s="80" t="str">
        <x:v>BLACK</x:v>
      </x:c>
      <x:c r="C31" s="23" t="str">
        <x:v>Local worksheet calculation; do not overwrite formulas.</x:v>
      </x:c>
      <x:c r="D31" s="23"/>
      <x:c r="E31" s="23"/>
      <x:c r="F31" s="23"/>
      <x:c r="G31" s="23"/>
      <x:c r="H31" s="23"/>
      <x:c r="I31" s="23"/>
    </x:row>
    <x:row r="32" ht="19" customHeight="1">
      <x:c r="B32" s="82" t="str">
        <x:v>GREEN</x:v>
      </x:c>
      <x:c r="C32" s="23" t="str">
        <x:v>Link to another worksheet in this same model.</x:v>
      </x:c>
      <x:c r="D32" s="23"/>
      <x:c r="E32" s="23"/>
      <x:c r="F32" s="23"/>
      <x:c r="G32" s="23"/>
      <x:c r="H32" s="23"/>
      <x:c r="I32" s="23"/>
    </x:row>
    <x:row r="33" ht="19" customHeight="1">
      <x:c r="B33" s="84" t="str">
        <x:v>YELLOW</x:v>
      </x:c>
      <x:c r="C33" s="64" t="str">
        <x:v>Analyst forecasts requiring judgment; refer to Scenarios &amp; Assumptions.</x:v>
      </x:c>
      <x:c r="D33" s="23"/>
      <x:c r="E33" s="23"/>
      <x:c r="F33" s="23"/>
      <x:c r="G33" s="23"/>
      <x:c r="H33" s="23"/>
      <x:c r="I33" s="23"/>
    </x:row>
    <x:row r="34" ht="19" customHeight="1">
      <x:c r="B34" s="22"/>
      <x:c r="C34" s="23"/>
      <x:c r="D34" s="23"/>
      <x:c r="E34" s="23"/>
      <x:c r="F34" s="23"/>
      <x:c r="G34" s="23"/>
      <x:c r="H34" s="23"/>
      <x:c r="I34" s="23"/>
    </x:row>
    <x:row r="35" ht="37" customHeight="1">
      <x:c r="B35" s="56" t="str">
        <x:v>TASK 2 SCOPE: historical filings, scenario assumptions, cigarettes/excise bridge, segment operating cases, income statement, working capital, linked balance sheet and cash flow, reconciliation checks.</x:v>
      </x:c>
      <x:c r="C35" s="57"/>
      <x:c r="D35" s="57"/>
      <x:c r="E35" s="57"/>
      <x:c r="F35" s="57"/>
      <x:c r="G35" s="57"/>
      <x:c r="H35" s="57"/>
      <x:c r="I35" s="57"/>
    </x:row>
    <x:row r="36" ht="37" customHeight="1">
      <x:c r="B36" s="56" t="str">
        <x:v>Valuation tabs and DCF/SOTP/peer analysis will be appended to THIS workbook in TASK 3. Native Excel charts are added in TASK 4. Both files are issued only in TASK 5.</x:v>
      </x:c>
      <x:c r="C36" s="57"/>
      <x:c r="D36" s="57"/>
      <x:c r="E36" s="57"/>
      <x:c r="F36" s="57"/>
      <x:c r="G36" s="57"/>
      <x:c r="H36" s="57"/>
      <x:c r="I36" s="57"/>
    </x:row>
    <x:row r="37" ht="37" customHeight="1">
      <x:c r="B37" s="56" t="str">
        <x:v>READ FIRST: FY26 cigarette revenue was disrupted by tax reform effective Feb 1, 2026. FY27 modeled gross cigarette revenue is NOT a proxy for cigarette volume.</x:v>
      </x:c>
      <x:c r="C37" s="57"/>
      <x:c r="D37" s="57"/>
      <x:c r="E37" s="57"/>
      <x:c r="F37" s="57"/>
      <x:c r="G37" s="57"/>
      <x:c r="H37" s="57"/>
      <x:c r="I37" s="57"/>
    </x:row>
    <x:row r="38" ht="37" customHeight="1">
      <x:c r="B38" s="56" t="str">
        <x:v>READ FIRST: FY25 reported PAT contains Hotels demerger/discontinued items; use continuing PAT for operating earnings comparisons.</x:v>
      </x:c>
      <x:c r="C38" s="57"/>
      <x:c r="D38" s="57"/>
      <x:c r="E38" s="57"/>
      <x:c r="F38" s="57"/>
      <x:c r="G38" s="57"/>
      <x:c r="H38" s="57"/>
      <x:c r="I38" s="57"/>
    </x:row>
    <x:row r="39" ht="37" customHeight="1">
      <x:c r="B39" s="56" t="str">
        <x:v>EXCLUDED PENDING APPROVAL: proposed ITC Infotech–Happiest Minds combination. Parent standalone subsidiary holdings remain in noncurrent investments.</x:v>
      </x:c>
      <x:c r="C39" s="57"/>
      <x:c r="D39" s="57"/>
      <x:c r="E39" s="57"/>
      <x:c r="F39" s="57"/>
      <x:c r="G39" s="57"/>
      <x:c r="H39" s="57"/>
      <x:c r="I39" s="57"/>
    </x:row>
    <x:row r="40" ht="37" customHeight="1">
      <x:c r="B40" s="56" t="str">
        <x:v>Note: projections are analyst hypotheses as of September 2026 and do not represent company guidance or guaranteed outcomes.</x:v>
      </x:c>
      <x:c r="C40" s="57"/>
      <x:c r="D40" s="57"/>
      <x:c r="E40" s="57"/>
      <x:c r="F40" s="57"/>
      <x:c r="G40" s="57"/>
      <x:c r="H40" s="57"/>
      <x:c r="I40" s="57"/>
    </x:row>
    <x:row r="41" ht="19" customHeight="1">
      <x:c r="B41" s="22"/>
      <x:c r="C41" s="23"/>
      <x:c r="D41" s="23"/>
      <x:c r="E41" s="23"/>
      <x:c r="F41" s="23"/>
      <x:c r="G41" s="23"/>
      <x:c r="H41" s="23"/>
      <x:c r="I41" s="23"/>
    </x:row>
    <x:row r="42" ht="32" customHeight="1">
      <x:c r="B42" s="44" t="str">
        <x:v>GROUP REPORTING NOTE: ITC Infotech and overseas subsidiaries are shown on Consolidated_Overlay, separately from the fully integrated standalone cash/BS model.</x:v>
      </x:c>
      <x:c r="C42" s="45"/>
      <x:c r="D42" s="45"/>
      <x:c r="E42" s="45"/>
      <x:c r="F42" s="45"/>
      <x:c r="G42" s="45"/>
      <x:c r="H42" s="45"/>
      <x:c r="I42" s="45"/>
    </x:row>
    <x:row r="43" ht="19" customHeight="1">
      <x:c r="B43" s="22"/>
      <x:c r="C43" s="23"/>
      <x:c r="D43" s="23"/>
      <x:c r="E43" s="23"/>
      <x:c r="F43" s="23"/>
      <x:c r="G43" s="23"/>
      <x:c r="H43" s="23"/>
      <x:c r="I43" s="23"/>
    </x:row>
    <x:row r="44" ht="35" customHeight="1">
      <x:c r="B44" s="508" t="str">
        <x:v>TASK 4 COMPLETE  |  Native editable Excel charts added on Charts tab; formulas and supporting data on Chart_Data tab. Task 5 assembles ONE final Word report.</x:v>
      </x:c>
      <x:c r="C44" s="509"/>
      <x:c r="D44" s="509"/>
      <x:c r="E44" s="509"/>
      <x:c r="F44" s="509"/>
      <x:c r="G44" s="509"/>
      <x:c r="H44" s="509"/>
      <x:c r="I44" s="509"/>
    </x:row>
    <x:row r="45" ht="35" customHeight="1">
      <x:c r="B45" s="512" t="str">
        <x:v>Charts: 24 native Excel objects  •  Figures update with Read Me!D8 and analyst assumptions; all 23 preceding model tabs are preserved.</x:v>
      </x:c>
      <x:c r="C45" s="513"/>
      <x:c r="D45" s="513"/>
      <x:c r="E45" s="513"/>
      <x:c r="F45" s="513"/>
      <x:c r="G45" s="513"/>
      <x:c r="H45" s="513"/>
      <x:c r="I45" s="513"/>
    </x:row>
    <x:row r="46" ht="19" customHeight="1">
      <x:c r="B46" s="22"/>
      <x:c r="C46" s="23"/>
      <x:c r="D46" s="23"/>
      <x:c r="E46" s="23"/>
      <x:c r="F46" s="23"/>
      <x:c r="G46" s="23"/>
      <x:c r="H46" s="23"/>
      <x:c r="I46" s="23"/>
    </x:row>
    <x:row r="47" ht="19" customHeight="1">
      <x:c r="B47" s="405" t="str">
        <x:v>DCF fair value</x:v>
      </x:c>
      <x:c r="C47" s="406"/>
      <x:c r="D47" s="412" t="n">
        <x:f>DCF!C35</x:f>
        <x:v>182.9795197694324</x:v>
      </x:c>
      <x:c r="E47" s="406"/>
      <x:c r="F47" s="406"/>
      <x:c r="G47" s="406"/>
      <x:c r="H47" s="406"/>
      <x:c r="I47" s="406"/>
    </x:row>
    <x:row r="48" ht="19" customHeight="1">
      <x:c r="B48" s="413" t="str">
        <x:v>SOTP fair value</x:v>
      </x:c>
      <x:c r="C48" s="414"/>
      <x:c r="D48" s="415" t="n">
        <x:f>SOTP!E30</x:f>
        <x:v>311.7614816267943</x:v>
      </x:c>
      <x:c r="E48" s="414"/>
      <x:c r="F48" s="414"/>
      <x:c r="G48" s="414"/>
      <x:c r="H48" s="414"/>
      <x:c r="I48" s="414"/>
    </x:row>
    <x:row r="49" ht="19" customHeight="1">
      <x:c r="B49" s="405" t="str">
        <x:v>Relative fair value</x:v>
      </x:c>
      <x:c r="C49" s="406"/>
      <x:c r="D49" s="412" t="n">
        <x:f>Relative_Valuation!C20</x:f>
        <x:v>274.5576654184031</x:v>
      </x:c>
      <x:c r="E49" s="406"/>
      <x:c r="F49" s="406"/>
      <x:c r="G49" s="406"/>
      <x:c r="H49" s="406"/>
      <x:c r="I49" s="406"/>
    </x:row>
    <x:row r="50" ht="19" customHeight="1">
      <x:c r="B50" s="413" t="str">
        <x:v>Blended reference</x:v>
      </x:c>
      <x:c r="C50" s="414"/>
      <x:c r="D50" s="415" t="n">
        <x:f>Valuation_Summary!E18</x:f>
        <x:v>254.66812445259086</x:v>
      </x:c>
      <x:c r="E50" s="414"/>
      <x:c r="F50" s="414"/>
      <x:c r="G50" s="414"/>
      <x:c r="H50" s="414"/>
      <x:c r="I50" s="414"/>
    </x:row>
    <x:row r="51" ht="19" customHeight="1">
      <x:c r="B51" s="22"/>
      <x:c r="C51" s="23"/>
      <x:c r="D51" s="23"/>
      <x:c r="E51" s="23"/>
      <x:c r="F51" s="23"/>
      <x:c r="G51" s="23"/>
      <x:c r="H51" s="23"/>
      <x:c r="I51" s="23"/>
    </x:row>
    <x:row r="52" ht="19" customHeight="1">
      <x:c r="B52" s="22"/>
      <x:c r="C52" s="23"/>
      <x:c r="D52" s="23"/>
      <x:c r="E52" s="23"/>
      <x:c r="F52" s="23"/>
      <x:c r="G52" s="23"/>
      <x:c r="H52" s="23"/>
      <x:c r="I52" s="23"/>
    </x:row>
    <x:row r="53" ht="19" customHeight="1">
      <x:c r="B53" s="22"/>
      <x:c r="C53" s="23"/>
      <x:c r="D53" s="23"/>
      <x:c r="E53" s="23"/>
      <x:c r="F53" s="23"/>
      <x:c r="G53" s="23"/>
      <x:c r="H53" s="23"/>
      <x:c r="I53" s="23"/>
    </x:row>
    <x:row r="54" ht="19" customHeight="1">
      <x:c r="B54" s="22"/>
      <x:c r="C54" s="23"/>
      <x:c r="D54" s="23"/>
      <x:c r="E54" s="23"/>
      <x:c r="F54" s="23"/>
      <x:c r="G54" s="23"/>
      <x:c r="H54" s="23"/>
      <x:c r="I54" s="23"/>
    </x:row>
    <x:row r="55" ht="19" customHeight="1">
      <x:c r="B55" s="22"/>
      <x:c r="C55" s="23"/>
      <x:c r="D55" s="23"/>
      <x:c r="E55" s="23"/>
      <x:c r="F55" s="23"/>
      <x:c r="G55" s="23"/>
      <x:c r="H55" s="23"/>
      <x:c r="I55" s="23"/>
    </x:row>
    <x:row r="56" ht="19" customHeight="1">
      <x:c r="B56" s="22"/>
      <x:c r="C56" s="23"/>
      <x:c r="D56" s="23"/>
      <x:c r="E56" s="23"/>
      <x:c r="F56" s="23"/>
      <x:c r="G56" s="23"/>
      <x:c r="H56" s="23"/>
      <x:c r="I56" s="23"/>
    </x:row>
    <x:row r="57" ht="19" customHeight="1">
      <x:c r="B57" s="22"/>
      <x:c r="C57" s="23"/>
      <x:c r="D57" s="23"/>
      <x:c r="E57" s="23"/>
      <x:c r="F57" s="23"/>
      <x:c r="G57" s="23"/>
      <x:c r="H57" s="23"/>
      <x:c r="I57" s="23"/>
    </x:row>
    <x:row r="58" ht="19" customHeight="1">
      <x:c r="B58" s="22"/>
      <x:c r="C58" s="23"/>
      <x:c r="D58" s="23"/>
      <x:c r="E58" s="23"/>
      <x:c r="F58" s="23"/>
      <x:c r="G58" s="23"/>
      <x:c r="H58" s="23"/>
      <x:c r="I58" s="23"/>
    </x:row>
    <x:row r="59" ht="19" customHeight="1">
      <x:c r="B59" s="22"/>
      <x:c r="C59" s="23"/>
      <x:c r="D59" s="23"/>
      <x:c r="E59" s="23"/>
      <x:c r="F59" s="23"/>
      <x:c r="G59" s="23"/>
      <x:c r="H59" s="23"/>
      <x:c r="I59" s="23"/>
    </x:row>
    <x:row r="60" ht="19" customHeight="1">
      <x:c r="B60" s="22"/>
      <x:c r="C60" s="23"/>
      <x:c r="D60" s="23"/>
      <x:c r="E60" s="23"/>
      <x:c r="F60" s="23"/>
      <x:c r="G60" s="23"/>
      <x:c r="H60" s="23"/>
      <x:c r="I60" s="23"/>
    </x:row>
    <x:row r="61" ht="19" customHeight="1">
      <x:c r="B61" s="22"/>
      <x:c r="C61" s="23"/>
      <x:c r="D61" s="23"/>
      <x:c r="E61" s="23"/>
      <x:c r="F61" s="23"/>
      <x:c r="G61" s="23"/>
      <x:c r="H61" s="23"/>
      <x:c r="I61" s="23"/>
    </x:row>
    <x:row r="62" ht="19" customHeight="1">
      <x:c r="B62" s="22"/>
      <x:c r="C62" s="23"/>
      <x:c r="D62" s="23"/>
      <x:c r="E62" s="23"/>
      <x:c r="F62" s="23"/>
      <x:c r="G62" s="23"/>
      <x:c r="H62" s="23"/>
      <x:c r="I62" s="23"/>
    </x:row>
    <x:row r="63" ht="19" customHeight="1">
      <x:c r="B63" s="22"/>
      <x:c r="C63" s="23"/>
      <x:c r="D63" s="23"/>
      <x:c r="E63" s="23"/>
      <x:c r="F63" s="23"/>
      <x:c r="G63" s="23"/>
      <x:c r="H63" s="23"/>
      <x:c r="I63" s="23"/>
    </x:row>
    <x:row r="64" ht="19" customHeight="1">
      <x:c r="B64" s="22"/>
      <x:c r="C64" s="23"/>
      <x:c r="D64" s="23"/>
      <x:c r="E64" s="23"/>
      <x:c r="F64" s="23"/>
      <x:c r="G64" s="23"/>
      <x:c r="H64" s="23"/>
      <x:c r="I64" s="23"/>
    </x:row>
    <x:row r="65" ht="19" customHeight="1">
      <x:c r="B65" s="22"/>
      <x:c r="C65" s="23"/>
      <x:c r="D65" s="23"/>
      <x:c r="E65" s="23"/>
      <x:c r="F65" s="23"/>
      <x:c r="G65" s="23"/>
      <x:c r="H65" s="23"/>
      <x:c r="I65" s="23"/>
    </x:row>
    <x:row r="66" ht="19" customHeight="1">
      <x:c r="B66" s="22"/>
      <x:c r="C66" s="23"/>
      <x:c r="D66" s="23"/>
      <x:c r="E66" s="23"/>
      <x:c r="F66" s="23"/>
      <x:c r="G66" s="23"/>
      <x:c r="H66" s="23"/>
      <x:c r="I66" s="23"/>
    </x:row>
    <x:row r="67" ht="19" customHeight="1">
      <x:c r="B67" s="22"/>
      <x:c r="C67" s="23"/>
      <x:c r="D67" s="23"/>
      <x:c r="E67" s="23"/>
      <x:c r="F67" s="23"/>
      <x:c r="G67" s="23"/>
      <x:c r="H67" s="23"/>
      <x:c r="I67" s="23"/>
    </x:row>
    <x:row r="68" ht="19" customHeight="1">
      <x:c r="B68" s="22"/>
      <x:c r="C68" s="23"/>
      <x:c r="D68" s="23"/>
      <x:c r="E68" s="23"/>
      <x:c r="F68" s="23"/>
      <x:c r="G68" s="23"/>
      <x:c r="H68" s="23"/>
      <x:c r="I68" s="23"/>
    </x:row>
    <x:row r="69" ht="19" customHeight="1">
      <x:c r="B69" s="22"/>
      <x:c r="C69" s="23"/>
      <x:c r="D69" s="23"/>
      <x:c r="E69" s="23"/>
      <x:c r="F69" s="23"/>
      <x:c r="G69" s="23"/>
      <x:c r="H69" s="23"/>
      <x:c r="I69" s="23"/>
    </x:row>
    <x:row r="70" ht="19" customHeight="1">
      <x:c r="B70" s="22"/>
      <x:c r="C70" s="23"/>
      <x:c r="D70" s="23"/>
      <x:c r="E70" s="23"/>
      <x:c r="F70" s="23"/>
      <x:c r="G70" s="23"/>
      <x:c r="H70" s="23"/>
      <x:c r="I70" s="23"/>
    </x:row>
    <x:row r="71" ht="19" customHeight="1">
      <x:c r="B71" s="22"/>
      <x:c r="C71" s="23"/>
      <x:c r="D71" s="23"/>
      <x:c r="E71" s="23"/>
      <x:c r="F71" s="23"/>
      <x:c r="G71" s="23"/>
      <x:c r="H71" s="23"/>
      <x:c r="I71" s="23"/>
    </x:row>
    <x:row r="72" ht="19" customHeight="1">
      <x:c r="B72" s="22"/>
      <x:c r="C72" s="23"/>
      <x:c r="D72" s="23"/>
      <x:c r="E72" s="23"/>
      <x:c r="F72" s="23"/>
      <x:c r="G72" s="23"/>
      <x:c r="H72" s="23"/>
      <x:c r="I72" s="23"/>
    </x:row>
    <x:row r="73" ht="19" customHeight="1">
      <x:c r="B73" s="22"/>
      <x:c r="C73" s="23"/>
      <x:c r="D73" s="23"/>
      <x:c r="E73" s="23"/>
      <x:c r="F73" s="23"/>
      <x:c r="G73" s="23"/>
      <x:c r="H73" s="23"/>
      <x:c r="I73" s="23"/>
    </x:row>
    <x:row r="74" ht="19" customHeight="1">
      <x:c r="B74" s="22"/>
      <x:c r="C74" s="23"/>
      <x:c r="D74" s="23"/>
      <x:c r="E74" s="23"/>
      <x:c r="F74" s="23"/>
      <x:c r="G74" s="23"/>
      <x:c r="H74" s="23"/>
      <x:c r="I74" s="23"/>
    </x:row>
    <x:row r="75" ht="19" customHeight="1">
      <x:c r="B75" s="22"/>
      <x:c r="C75" s="23"/>
      <x:c r="D75" s="23"/>
      <x:c r="E75" s="23"/>
      <x:c r="F75" s="23"/>
      <x:c r="G75" s="23"/>
      <x:c r="H75" s="23"/>
      <x:c r="I75" s="23"/>
    </x:row>
    <x:row r="76" ht="19" customHeight="1">
      <x:c r="B76" s="22"/>
      <x:c r="C76" s="23"/>
      <x:c r="D76" s="23"/>
      <x:c r="E76" s="23"/>
      <x:c r="F76" s="23"/>
      <x:c r="G76" s="23"/>
      <x:c r="H76" s="23"/>
      <x:c r="I76" s="23"/>
    </x:row>
    <x:row r="77" ht="19" customHeight="1">
      <x:c r="B77" s="22"/>
      <x:c r="C77" s="23"/>
      <x:c r="D77" s="23"/>
      <x:c r="E77" s="23"/>
      <x:c r="F77" s="23"/>
      <x:c r="G77" s="23"/>
      <x:c r="H77" s="23"/>
      <x:c r="I77" s="23"/>
    </x:row>
    <x:row r="78" ht="19" customHeight="1">
      <x:c r="B78" s="22"/>
      <x:c r="C78" s="23"/>
      <x:c r="D78" s="23"/>
      <x:c r="E78" s="23"/>
      <x:c r="F78" s="23"/>
      <x:c r="G78" s="23"/>
      <x:c r="H78" s="23"/>
      <x:c r="I78" s="23"/>
    </x:row>
    <x:row r="79" ht="19" customHeight="1">
      <x:c r="B79" s="22"/>
      <x:c r="C79" s="23"/>
      <x:c r="D79" s="23"/>
      <x:c r="E79" s="23"/>
      <x:c r="F79" s="23"/>
      <x:c r="G79" s="23"/>
      <x:c r="H79" s="23"/>
      <x:c r="I79" s="23"/>
    </x:row>
    <x:row r="80" ht="19" customHeight="1">
      <x:c r="B80" s="22"/>
      <x:c r="C80" s="23"/>
      <x:c r="D80" s="23"/>
      <x:c r="E80" s="23"/>
      <x:c r="F80" s="23"/>
      <x:c r="G80" s="23"/>
      <x:c r="H80" s="23"/>
      <x:c r="I80" s="23"/>
    </x:row>
    <x:row r="81" ht="19" customHeight="1">
      <x:c r="B81" s="22"/>
      <x:c r="C81" s="23"/>
      <x:c r="D81" s="23"/>
      <x:c r="E81" s="23"/>
      <x:c r="F81" s="23"/>
      <x:c r="G81" s="23"/>
      <x:c r="H81" s="23"/>
      <x:c r="I81" s="23"/>
    </x:row>
    <x:row r="82" ht="19" customHeight="1">
      <x:c r="B82" s="22"/>
      <x:c r="C82" s="23"/>
      <x:c r="D82" s="23"/>
      <x:c r="E82" s="23"/>
      <x:c r="F82" s="23"/>
      <x:c r="G82" s="23"/>
      <x:c r="H82" s="23"/>
      <x:c r="I82" s="23"/>
    </x:row>
  </x:sheetData>
  <x:mergeCells>
    <x:mergeCell ref="B2:I2"/>
    <x:mergeCell ref="B3:I3"/>
    <x:mergeCell ref="B6:I6"/>
    <x:mergeCell ref="C10:I10"/>
    <x:mergeCell ref="C11:I11"/>
    <x:mergeCell ref="C13:I13"/>
    <x:mergeCell ref="B16:I16"/>
    <x:mergeCell ref="B28:I28"/>
    <x:mergeCell ref="B35:I35"/>
    <x:mergeCell ref="B36:I36"/>
    <x:mergeCell ref="B37:I37"/>
    <x:mergeCell ref="B38:I38"/>
    <x:mergeCell ref="B39:I39"/>
    <x:mergeCell ref="B40:I40"/>
    <x:mergeCell ref="B42:I42"/>
    <x:mergeCell ref="B44:I44"/>
    <x:mergeCell ref="B45:I45"/>
  </x:mergeCells>
  <x:dataValidations count="1">
    <x:dataValidation type="list" sqref="D8">
      <x:formula1>"Base,Bull,Bear"</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54" hidden="0" customWidth="1"/>
    <x:col min="5" max="5" width="17" hidden="0" customWidth="1"/>
    <x:col min="6" max="6" width="95" hidden="0" customWidth="1"/>
    <x:col min="7" max="7" width="17" hidden="0" customWidth="1"/>
    <x:col min="8" max="8" width="17" hidden="0" customWidth="1"/>
    <x:col min="9" max="9" width="17" hidden="0" customWidth="1"/>
    <x:col min="10" max="10" width="3" hidden="0" customWidth="1"/>
  </x:cols>
  <x:sheetData>
    <x:row r="2" ht="32" customHeight="1">
      <x:c r="B2" s="4" t="str">
        <x:v>SOURCE REGISTER</x:v>
      </x:c>
      <x:c r="C2" s="4"/>
      <x:c r="D2" s="4"/>
      <x:c r="E2" s="4"/>
      <x:c r="F2" s="4"/>
      <x:c r="G2" s="4"/>
      <x:c r="H2" s="4"/>
      <x:c r="I2" s="4"/>
    </x:row>
    <x:row r="3" ht="23" customHeight="1">
      <x:c r="B3" s="9" t="str">
        <x:v>Link each historical input to the audited/unaudited filing; analyst assumptions are marked separately.</x:v>
      </x:c>
      <x:c r="C3" s="9"/>
      <x:c r="D3" s="9"/>
      <x:c r="E3" s="9"/>
      <x:c r="F3" s="9"/>
      <x:c r="G3" s="9"/>
      <x:c r="H3" s="9"/>
      <x:c r="I3" s="9"/>
    </x:row>
    <x:row r="4" ht="24" customHeight="1">
      <x:c r="B4" s="18" t="str">
        <x:v>ITC LIMITED  •  ₹ crore unless noted</x:v>
      </x:c>
      <x:c r="C4" s="14" t="str">
        <x:v>TYPE</x:v>
      </x:c>
      <x:c r="D4" s="14" t="str">
        <x:v>DATE</x:v>
      </x:c>
      <x:c r="E4" s="14" t="str">
        <x:v>PUBLICATION</x:v>
      </x:c>
      <x:c r="F4" s="14" t="str">
        <x:v>UNIT</x:v>
      </x:c>
      <x:c r="G4" s="14" t="str">
        <x:v>REFERENCE</x:v>
      </x:c>
      <x:c r="H4" s="14" t="str">
        <x:v>STATUS</x:v>
      </x:c>
      <x:c r="I4" s="14" t="str"/>
    </x:row>
    <x:row r="5" ht="19" customHeight="1">
      <x:c r="B5" s="22"/>
      <x:c r="C5" s="23"/>
      <x:c r="D5" s="23"/>
      <x:c r="E5" s="23"/>
      <x:c r="F5" s="23"/>
      <x:c r="G5" s="23"/>
      <x:c r="H5" s="23"/>
      <x:c r="I5" s="23"/>
    </x:row>
    <x:row r="6" ht="19" customHeight="1">
      <x:c r="B6" s="22"/>
      <x:c r="C6" s="23"/>
      <x:c r="D6" s="23"/>
      <x:c r="E6" s="23"/>
      <x:c r="F6" s="23"/>
      <x:c r="G6" s="23"/>
      <x:c r="H6" s="23"/>
      <x:c r="I6" s="23"/>
    </x:row>
    <x:row r="7" ht="34" customHeight="1">
      <x:c r="B7" s="22" t="str">
        <x:v>FY26</x:v>
      </x:c>
      <x:c r="C7" s="23" t="str">
        <x:v>2026-05-21</x:v>
      </x:c>
      <x:c r="D7" s="23" t="str">
        <x:v>FY2026 audited standalone NSE filing</x:v>
      </x:c>
      <x:c r="E7" s="23" t="str">
        <x:v>₹ crore</x:v>
      </x:c>
      <x:c r="F7" s="26" t="str">
        <x:v>https://nsearchives.nseindia.com/corporate/ixbrl/INTEGRATED_FILING_INDAS_159755_21052026183213_iXBRL_WEB.html</x:v>
      </x:c>
      <x:c r="G7" s="23" t="str">
        <x:v>Audited</x:v>
      </x:c>
      <x:c r="H7" s="23"/>
      <x:c r="I7" s="23"/>
    </x:row>
    <x:row r="8" ht="34" customHeight="1">
      <x:c r="B8" s="22" t="str">
        <x:v>FY25</x:v>
      </x:c>
      <x:c r="C8" s="23" t="str">
        <x:v>2025-05-22</x:v>
      </x:c>
      <x:c r="D8" s="23" t="str">
        <x:v>FY2025 audited standalone NSE filing</x:v>
      </x:c>
      <x:c r="E8" s="23" t="str">
        <x:v>₹ crore</x:v>
      </x:c>
      <x:c r="F8" s="26" t="str">
        <x:v>https://nsearchives.nseindia.com/corporate/ixbrl/INTEGRATED_FILING_INDAS_92862_22052025181843_iXBRL_WEB.html</x:v>
      </x:c>
      <x:c r="G8" s="23" t="str">
        <x:v>Audited</x:v>
      </x:c>
      <x:c r="H8" s="23"/>
      <x:c r="I8" s="23"/>
    </x:row>
    <x:row r="9" ht="34" customHeight="1">
      <x:c r="B9" s="22" t="str">
        <x:v>Q1FY27</x:v>
      </x:c>
      <x:c r="C9" s="23" t="str">
        <x:v>2026-07-31</x:v>
      </x:c>
      <x:c r="D9" s="23" t="str">
        <x:v>Q1 FY2027 standalone NSE filing</x:v>
      </x:c>
      <x:c r="E9" s="23" t="str">
        <x:v>₹ crore</x:v>
      </x:c>
      <x:c r="F9" s="26" t="str">
        <x:v>https://nsearchives.nseindia.com/corporate/ixbrl/INTEGRATED_FILING_INDAS_181204_31072026172335_iXBRL_WEB.html</x:v>
      </x:c>
      <x:c r="G9" s="23" t="str">
        <x:v>Unaudited</x:v>
      </x:c>
      <x:c r="H9" s="23"/>
      <x:c r="I9" s="23"/>
    </x:row>
    <x:row r="10" ht="34" customHeight="1">
      <x:c r="B10" s="22" t="str">
        <x:v>Q1PRESS</x:v>
      </x:c>
      <x:c r="C10" s="23" t="str">
        <x:v>2026-07-31</x:v>
      </x:c>
      <x:c r="D10" s="23" t="str">
        <x:v>Q1 FY2027 ITC company statement</x:v>
      </x:c>
      <x:c r="E10" s="23" t="str">
        <x:v>₹ crore</x:v>
      </x:c>
      <x:c r="F10" s="26" t="str">
        <x:v>https://itcportal.com/media-centre/press-releases/media-statement-financial-results-for-the-quarter-ended-30th-june-2026.html</x:v>
      </x:c>
      <x:c r="G10" s="23" t="str">
        <x:v>Management commentary</x:v>
      </x:c>
      <x:c r="H10" s="23"/>
      <x:c r="I10" s="23"/>
    </x:row>
    <x:row r="11" ht="34" customHeight="1">
      <x:c r="B11" s="22" t="str">
        <x:v>FY26PRESS</x:v>
      </x:c>
      <x:c r="C11" s="23" t="str">
        <x:v>2026-05-21</x:v>
      </x:c>
      <x:c r="D11" s="23" t="str">
        <x:v>FY2026 ITC company statement</x:v>
      </x:c>
      <x:c r="E11" s="23" t="str">
        <x:v>₹ crore</x:v>
      </x:c>
      <x:c r="F11" s="26" t="str">
        <x:v>https://itcportal.com/media-centre/press-releases/media-statement-financial-results-for-the-quarter-and-year-ended-31st-march-2026.html</x:v>
      </x:c>
      <x:c r="G11" s="23" t="str">
        <x:v>Management commentary</x:v>
      </x:c>
      <x:c r="H11" s="23"/>
      <x:c r="I11" s="23"/>
    </x:row>
    <x:row r="12" ht="34" customHeight="1">
      <x:c r="B12" s="22" t="str">
        <x:v>CENTURY</x:v>
      </x:c>
      <x:c r="C12" s="23" t="str">
        <x:v>2025-03-31</x:v>
      </x:c>
      <x:c r="D12" s="23" t="str">
        <x:v>Century Pulp and Paper business acquisition</x:v>
      </x:c>
      <x:c r="E12" s="23" t="str">
        <x:v>₹ crore</x:v>
      </x:c>
      <x:c r="F12" s="26" t="str">
        <x:v>https://itcportal.com/media-centre/press-releases/itc-announces-strategic-acquisition-of-pulp---paper-undertaking-0.html</x:v>
      </x:c>
      <x:c r="G12" s="23" t="str">
        <x:v>Deal press release</x:v>
      </x:c>
      <x:c r="H12" s="23"/>
      <x:c r="I12" s="23"/>
    </x:row>
    <x:row r="13" ht="34" customHeight="1">
      <x:c r="B13" s="22" t="str">
        <x:v>INFOTECH</x:v>
      </x:c>
      <x:c r="C13" s="23" t="str">
        <x:v>2026-08-31</x:v>
      </x:c>
      <x:c r="D13" s="23" t="str">
        <x:v>Proposed ITC Infotech and Happiest Minds transaction</x:v>
      </x:c>
      <x:c r="E13" s="23" t="str">
        <x:v>₹ crore</x:v>
      </x:c>
      <x:c r="F13" s="26" t="str">
        <x:v>https://itcportal.com/media-centre/press-releases/strategic-combination-of-itc-infotech-and-happiest-minds-technologies-to-create-a-scaled-future-ready-ai-first-global-technology-services-enterprise-with-us-dollar-1-billion-revenue-by-fy28.html</x:v>
      </x:c>
      <x:c r="G13" s="23" t="str">
        <x:v>Proposed / not closed</x:v>
      </x:c>
      <x:c r="H13" s="23"/>
      <x:c r="I13" s="23"/>
    </x:row>
    <x:row r="14" ht="34" customHeight="1">
      <x:c r="B14" s="22" t="str">
        <x:v>FY26AR</x:v>
      </x:c>
      <x:c r="C14" s="23" t="str">
        <x:v>2026-07-01</x:v>
      </x:c>
      <x:c r="D14" s="23" t="str">
        <x:v>ITC report and accounts FY2026</x:v>
      </x:c>
      <x:c r="E14" s="23" t="str">
        <x:v>₹ crore</x:v>
      </x:c>
      <x:c r="F14" s="26" t="str">
        <x:v>https://itcportal.com/investors/itc-reports-and-accounts/itc-report-and-accounts-2026.html</x:v>
      </x:c>
      <x:c r="G14" s="23" t="str">
        <x:v>Company annual reports</x:v>
      </x:c>
      <x:c r="H14" s="23"/>
      <x:c r="I14" s="23"/>
    </x:row>
    <x:row r="15" ht="34" customHeight="1">
      <x:c r="B15" s="22" t="str">
        <x:v>FY26CON</x:v>
      </x:c>
      <x:c r="C15" s="23" t="str">
        <x:v>2026-05-21</x:v>
      </x:c>
      <x:c r="D15" s="23" t="str">
        <x:v>FY2026 audited consolidated NSE filing</x:v>
      </x:c>
      <x:c r="E15" s="23" t="str">
        <x:v>₹ crore</x:v>
      </x:c>
      <x:c r="F15" s="26" t="str">
        <x:v>https://nsearchives.nseindia.com/corporate/ixbrl/INTEGRATED_FILING_INDAS_159756_21052026183229_iXBRL_WEB.html</x:v>
      </x:c>
      <x:c r="G15" s="23" t="str">
        <x:v>Audited</x:v>
      </x:c>
      <x:c r="H15" s="23"/>
      <x:c r="I15" s="23"/>
    </x:row>
    <x:row r="16" ht="34" customHeight="1">
      <x:c r="B16" s="22" t="str">
        <x:v>Q1CON</x:v>
      </x:c>
      <x:c r="C16" s="23" t="str">
        <x:v>2026-07-31</x:v>
      </x:c>
      <x:c r="D16" s="23" t="str">
        <x:v>Q1 FY2027 unaudited consolidated filing</x:v>
      </x:c>
      <x:c r="E16" s="23" t="str">
        <x:v>₹ crore</x:v>
      </x:c>
      <x:c r="F16" s="26" t="str">
        <x:v>https://nsearchives.nseindia.com/corporate/ixbrl/INTEGRATED_FILING_INDAS_181205_31072026172353_iXBRL_WEB.html</x:v>
      </x:c>
      <x:c r="G16" s="23" t="str">
        <x:v>Unaudited</x:v>
      </x:c>
      <x:c r="H16" s="23"/>
      <x:c r="I16" s="23"/>
    </x:row>
    <x:row r="17" ht="19" customHeight="1">
      <x:c r="B17" s="22"/>
      <x:c r="C17" s="23"/>
      <x:c r="D17" s="23"/>
      <x:c r="E17" s="23"/>
      <x:c r="F17" s="23"/>
      <x:c r="G17" s="23"/>
      <x:c r="H17" s="23"/>
      <x:c r="I17" s="23"/>
    </x:row>
    <x:row r="18" ht="21" customHeight="1">
      <x:c r="B18" s="32" t="str">
        <x:v>SOURCING &amp; DEFINITION RULES</x:v>
      </x:c>
      <x:c r="C18" s="33"/>
      <x:c r="D18" s="33"/>
      <x:c r="E18" s="33"/>
      <x:c r="F18" s="33"/>
      <x:c r="G18" s="33"/>
      <x:c r="H18" s="33"/>
      <x:c r="I18" s="33"/>
    </x:row>
    <x:row r="19" ht="19" customHeight="1">
      <x:c r="B19" s="22"/>
      <x:c r="C19" s="23"/>
      <x:c r="D19" s="23"/>
      <x:c r="E19" s="23"/>
      <x:c r="F19" s="23"/>
      <x:c r="G19" s="23"/>
      <x:c r="H19" s="23"/>
      <x:c r="I19" s="23"/>
    </x:row>
    <x:row r="20" ht="35" customHeight="1">
      <x:c r="B20" s="44" t="str">
        <x:v>FY25 and FY26 are standalone financials. FY25 source presents discontinued Hotels results separately. FY26 Q1 is unaudited.</x:v>
      </x:c>
      <x:c r="C20" s="45"/>
      <x:c r="D20" s="45"/>
      <x:c r="E20" s="45"/>
      <x:c r="F20" s="45"/>
      <x:c r="G20" s="45"/>
      <x:c r="H20" s="45"/>
      <x:c r="I20" s="45"/>
    </x:row>
    <x:row r="21" ht="35" customHeight="1">
      <x:c r="B21" s="56" t="str">
        <x:v>NSE FY26 and Q1 FY27 iXBRL present amounts in INR lakhs; amounts have been divided by 100 to show ₹ crore.</x:v>
      </x:c>
      <x:c r="C21" s="57"/>
      <x:c r="D21" s="57"/>
      <x:c r="E21" s="57"/>
      <x:c r="F21" s="57"/>
      <x:c r="G21" s="57"/>
      <x:c r="H21" s="57"/>
      <x:c r="I21" s="57"/>
    </x:row>
    <x:row r="22" ht="35" customHeight="1">
      <x:c r="B22" s="44" t="str">
        <x:v>FY25 iXBRL presents INR units; amounts have been divided by 1e7 to show ₹ crore.</x:v>
      </x:c>
      <x:c r="C22" s="45"/>
      <x:c r="D22" s="45"/>
      <x:c r="E22" s="45"/>
      <x:c r="F22" s="45"/>
      <x:c r="G22" s="45"/>
      <x:c r="H22" s="45"/>
      <x:c r="I22" s="45"/>
    </x:row>
    <x:row r="23" ht="35" customHeight="1">
      <x:c r="B23" s="56" t="str">
        <x:v>FY25 historical period is as filed in FY25 results; FY26 business combination Wimco restatement introduces small comparability differences.</x:v>
      </x:c>
      <x:c r="C23" s="57"/>
      <x:c r="D23" s="57"/>
      <x:c r="E23" s="57"/>
      <x:c r="F23" s="57"/>
      <x:c r="G23" s="57"/>
      <x:c r="H23" s="57"/>
      <x:c r="I23" s="57"/>
    </x:row>
    <x:row r="24" ht="35" customHeight="1">
      <x:c r="B24" s="44" t="str">
        <x:v>Excise includes cigarette central excise in this model; treating entire reported excise as attributable to cigarettes is a model approximation.</x:v>
      </x:c>
      <x:c r="C24" s="45"/>
      <x:c r="D24" s="45"/>
      <x:c r="E24" s="45"/>
      <x:c r="F24" s="45"/>
      <x:c r="G24" s="45"/>
      <x:c r="H24" s="45"/>
      <x:c r="I24" s="45"/>
    </x:row>
    <x:row r="25" ht="35" customHeight="1">
      <x:c r="B25" s="56" t="str">
        <x:v>Segment results are PBIT by ITC segment, not standalone EBIT without adjustment for central costs and unallocated income.</x:v>
      </x:c>
      <x:c r="C25" s="57"/>
      <x:c r="D25" s="57"/>
      <x:c r="E25" s="57"/>
      <x:c r="F25" s="57"/>
      <x:c r="G25" s="57"/>
      <x:c r="H25" s="57"/>
      <x:c r="I25" s="57"/>
    </x:row>
    <x:row r="26" ht="35" customHeight="1">
      <x:c r="B26" s="44" t="str">
        <x:v>ITC Hotels is demerged as of Jan 2025; FY25 total reported PAT includes material discontinued operations / demerger gains.</x:v>
      </x:c>
      <x:c r="C26" s="45"/>
      <x:c r="D26" s="45"/>
      <x:c r="E26" s="45"/>
      <x:c r="F26" s="45"/>
      <x:c r="G26" s="45"/>
      <x:c r="H26" s="45"/>
      <x:c r="I26" s="45"/>
    </x:row>
    <x:row r="27" ht="35" customHeight="1">
      <x:c r="B27" s="56" t="str">
        <x:v>Corporate transaction timing: Century added only from FY27; proposed Infotech/Happiest merger is EXCLUDED from base financial consolidation until closed.</x:v>
      </x:c>
      <x:c r="C27" s="57"/>
      <x:c r="D27" s="57"/>
      <x:c r="E27" s="57"/>
      <x:c r="F27" s="57"/>
      <x:c r="G27" s="57"/>
      <x:c r="H27" s="57"/>
      <x:c r="I27" s="57"/>
    </x:row>
    <x:row r="28" ht="35" customHeight="1">
      <x:c r="B28" s="44" t="str">
        <x:v>Source register records direct primary links. All light-yellow forecast assumptions are analyst hypotheses, not company guidance.</x:v>
      </x:c>
      <x:c r="C28" s="45"/>
      <x:c r="D28" s="45"/>
      <x:c r="E28" s="45"/>
      <x:c r="F28" s="45"/>
      <x:c r="G28" s="45"/>
      <x:c r="H28" s="45"/>
      <x:c r="I28" s="45"/>
    </x:row>
    <x:row r="29" ht="19" customHeight="1">
      <x:c r="B29" s="22"/>
      <x:c r="C29" s="23"/>
      <x:c r="D29" s="23"/>
      <x:c r="E29" s="23"/>
      <x:c r="F29" s="23"/>
      <x:c r="G29" s="23"/>
      <x:c r="H29" s="23"/>
      <x:c r="I29" s="23"/>
    </x:row>
    <x:row r="30" ht="33" customHeight="1">
      <x:c r="B30" s="22" t="str">
        <x:v>ITC_PRICE</x:v>
      </x:c>
      <x:c r="C30" s="23" t="str">
        <x:v>2026-09-25</x:v>
      </x:c>
      <x:c r="D30" s="23" t="str">
        <x:v>ITC NSE closing market price (25 Sep 2026)</x:v>
      </x:c>
      <x:c r="E30" s="23" t="str">
        <x:v>₹/share, x or %</x:v>
      </x:c>
      <x:c r="F30" s="26" t="str">
        <x:v>https://stockanalysis.com/quote/nse/ITC/history/</x:v>
      </x:c>
      <x:c r="G30" s="23" t="str">
        <x:v>Market snapshot</x:v>
      </x:c>
      <x:c r="H30" s="23"/>
      <x:c r="I30" s="23"/>
    </x:row>
    <x:row r="31" ht="33" customHeight="1">
      <x:c r="B31" s="22" t="str">
        <x:v>ITC_SHARECOUNT</x:v>
      </x:c>
      <x:c r="C31" s="23" t="str">
        <x:v>2026-09-18</x:v>
      </x:c>
      <x:c r="D31" s="23" t="str">
        <x:v>ITC issued ordinary shares 18 September 2026</x:v>
      </x:c>
      <x:c r="E31" s="23" t="str">
        <x:v>₹/share, x or %</x:v>
      </x:c>
      <x:c r="F31" s="26" t="str">
        <x:v>https://itcportal.com/investors.html</x:v>
      </x:c>
      <x:c r="G31" s="23" t="str">
        <x:v>Market snapshot</x:v>
      </x:c>
      <x:c r="H31" s="23"/>
      <x:c r="I31" s="23"/>
    </x:row>
    <x:row r="32" ht="33" customHeight="1">
      <x:c r="B32" s="22" t="str">
        <x:v>HOTEL_PRICE</x:v>
      </x:c>
      <x:c r="C32" s="23" t="str">
        <x:v>2026-09-25</x:v>
      </x:c>
      <x:c r="D32" s="23" t="str">
        <x:v>Hotels NSE close 25 September 2026</x:v>
      </x:c>
      <x:c r="E32" s="23" t="str">
        <x:v>₹/share, x or %</x:v>
      </x:c>
      <x:c r="F32" s="26" t="str">
        <x:v>https://stockanalysis.com/quote/nse/ITCHOTELS/history/</x:v>
      </x:c>
      <x:c r="G32" s="23" t="str">
        <x:v>Market snapshot</x:v>
      </x:c>
      <x:c r="H32" s="23"/>
      <x:c r="I32" s="23"/>
    </x:row>
    <x:row r="33" ht="33" customHeight="1">
      <x:c r="B33" s="22" t="str">
        <x:v>HOTEL_CAP</x:v>
      </x:c>
      <x:c r="C33" s="23" t="str">
        <x:v>2026-09-25</x:v>
      </x:c>
      <x:c r="D33" s="23" t="str">
        <x:v>Hotels market cap 25 September 2026</x:v>
      </x:c>
      <x:c r="E33" s="23" t="str">
        <x:v>₹/share, x or %</x:v>
      </x:c>
      <x:c r="F33" s="26" t="str">
        <x:v>https://stockanalysis.com/quote/nse/ITCHOTELS/market-cap/</x:v>
      </x:c>
      <x:c r="G33" s="23" t="str">
        <x:v>Market snapshot</x:v>
      </x:c>
      <x:c r="H33" s="23"/>
      <x:c r="I33" s="23"/>
    </x:row>
    <x:row r="34" ht="33" customHeight="1">
      <x:c r="B34" s="22" t="str">
        <x:v>HOTEL_STAKE2</x:v>
      </x:c>
      <x:c r="C34" s="23" t="str">
        <x:v>2026-06-30</x:v>
      </x:c>
      <x:c r="D34" s="23" t="str">
        <x:v>Hotels shareholding (39.85% June 2026)</x:v>
      </x:c>
      <x:c r="E34" s="23" t="str">
        <x:v>₹/share, x or %</x:v>
      </x:c>
      <x:c r="F34" s="26" t="str">
        <x:v>https://www.screener.in/company/ITCHOTELS/</x:v>
      </x:c>
      <x:c r="G34" s="23" t="str">
        <x:v>Market snapshot</x:v>
      </x:c>
      <x:c r="H34" s="23"/>
      <x:c r="I34" s="23"/>
    </x:row>
    <x:row r="35" ht="33" customHeight="1">
      <x:c r="B35" s="22" t="str">
        <x:v>RF</x:v>
      </x:c>
      <x:c r="C35" s="23" t="str">
        <x:v>2026-09-18</x:v>
      </x:c>
      <x:c r="D35" s="23" t="str">
        <x:v>Indian 10-year benchmark bond close 18 Sep 2026</x:v>
      </x:c>
      <x:c r="E35" s="23" t="str">
        <x:v>₹/share, x or %</x:v>
      </x:c>
      <x:c r="F35" s="26" t="str">
        <x:v>https://www.reuters.com/world/india/indian-rupee-eyes-portfolio-flows-oil-prices-bonds-face-liquidity-drain-2026-09-21/</x:v>
      </x:c>
      <x:c r="G35" s="23" t="str">
        <x:v>Market snapshot</x:v>
      </x:c>
      <x:c r="H35" s="23"/>
      <x:c r="I35" s="23"/>
    </x:row>
    <x:row r="36" ht="33" customHeight="1">
      <x:c r="B36" s="22" t="str">
        <x:v>GODFREY</x:v>
      </x:c>
      <x:c r="C36" s="23" t="str">
        <x:v>2026-09-25</x:v>
      </x:c>
      <x:c r="D36" s="23" t="str">
        <x:v>Godfrey Phillips observed trailing multiples</x:v>
      </x:c>
      <x:c r="E36" s="23" t="str">
        <x:v>₹/share, x or %</x:v>
      </x:c>
      <x:c r="F36" s="26" t="str">
        <x:v>https://stockanalysis.com/quote/nse/GODFRYPHLP/statistics/</x:v>
      </x:c>
      <x:c r="G36" s="23" t="str">
        <x:v>Market snapshot</x:v>
      </x:c>
      <x:c r="H36" s="23"/>
      <x:c r="I36" s="23"/>
    </x:row>
    <x:row r="37" ht="33" customHeight="1">
      <x:c r="B37" s="22" t="str">
        <x:v>VST</x:v>
      </x:c>
      <x:c r="C37" s="23" t="str">
        <x:v>2026-09-25</x:v>
      </x:c>
      <x:c r="D37" s="23" t="str">
        <x:v>VST Industries observed trailing multiples</x:v>
      </x:c>
      <x:c r="E37" s="23" t="str">
        <x:v>₹/share, x or %</x:v>
      </x:c>
      <x:c r="F37" s="26" t="str">
        <x:v>https://stockanalysis.com/quote/nse/VSTIND/statistics/</x:v>
      </x:c>
      <x:c r="G37" s="23" t="str">
        <x:v>Market snapshot</x:v>
      </x:c>
      <x:c r="H37" s="23"/>
      <x:c r="I37" s="23"/>
    </x:row>
    <x:row r="38" ht="33" customHeight="1">
      <x:c r="B38" s="22" t="str">
        <x:v>HUL</x:v>
      </x:c>
      <x:c r="C38" s="23" t="str">
        <x:v>2026-09-25</x:v>
      </x:c>
      <x:c r="D38" s="23" t="str">
        <x:v>HUL observed trailing multiples</x:v>
      </x:c>
      <x:c r="E38" s="23" t="str">
        <x:v>₹/share, x or %</x:v>
      </x:c>
      <x:c r="F38" s="26" t="str">
        <x:v>https://stockanalysis.com/quote/nse/HINDUNILVR/statistics/</x:v>
      </x:c>
      <x:c r="G38" s="23" t="str">
        <x:v>Market snapshot</x:v>
      </x:c>
      <x:c r="H38" s="23"/>
      <x:c r="I38" s="23"/>
    </x:row>
    <x:row r="39" ht="33" customHeight="1">
      <x:c r="B39" s="22" t="str">
        <x:v>BRITANNIA</x:v>
      </x:c>
      <x:c r="C39" s="23" t="str">
        <x:v>2026-09-25</x:v>
      </x:c>
      <x:c r="D39" s="23" t="str">
        <x:v>Britannia Industries observed trailing multiples</x:v>
      </x:c>
      <x:c r="E39" s="23" t="str">
        <x:v>₹/share, x or %</x:v>
      </x:c>
      <x:c r="F39" s="26" t="str">
        <x:v>https://stockanalysis.com/quote/nse/BRITANNIA/statistics/</x:v>
      </x:c>
      <x:c r="G39" s="23" t="str">
        <x:v>Market snapshot</x:v>
      </x:c>
      <x:c r="H39" s="23"/>
      <x:c r="I39" s="23"/>
    </x:row>
    <x:row r="40" ht="33" customHeight="1">
      <x:c r="B40" s="22" t="str">
        <x:v>DABUR</x:v>
      </x:c>
      <x:c r="C40" s="23" t="str">
        <x:v>2026-09-25</x:v>
      </x:c>
      <x:c r="D40" s="23" t="str">
        <x:v>Dabur India observed trailing multiples</x:v>
      </x:c>
      <x:c r="E40" s="23" t="str">
        <x:v>₹/share, x or %</x:v>
      </x:c>
      <x:c r="F40" s="26" t="str">
        <x:v>https://stockanalysis.com/quote/nse/DABUR/statistics/</x:v>
      </x:c>
      <x:c r="G40" s="23" t="str">
        <x:v>Market snapshot</x:v>
      </x:c>
      <x:c r="H40" s="23"/>
      <x:c r="I40" s="23"/>
    </x:row>
    <x:row r="41" ht="33" customHeight="1">
      <x:c r="B41" s="22" t="str">
        <x:v>JK</x:v>
      </x:c>
      <x:c r="C41" s="23" t="str">
        <x:v>2026-09-25</x:v>
      </x:c>
      <x:c r="D41" s="23" t="str">
        <x:v>JK Paper observed trailing multiples</x:v>
      </x:c>
      <x:c r="E41" s="23" t="str">
        <x:v>₹/share, x or %</x:v>
      </x:c>
      <x:c r="F41" s="26" t="str">
        <x:v>https://stockanalysis.com/quote/nse/JKPAPER/statistics/</x:v>
      </x:c>
      <x:c r="G41" s="23" t="str">
        <x:v>Market snapshot</x:v>
      </x:c>
      <x:c r="H41" s="23"/>
      <x:c r="I41" s="23"/>
    </x:row>
    <x:row r="42" ht="33" customHeight="1">
      <x:c r="B42" s="22" t="str">
        <x:v>HAPPIEST</x:v>
      </x:c>
      <x:c r="C42" s="23" t="str">
        <x:v>2026-09-25</x:v>
      </x:c>
      <x:c r="D42" s="23" t="str">
        <x:v>Happiest Minds observed trailing multiples</x:v>
      </x:c>
      <x:c r="E42" s="23" t="str">
        <x:v>₹/share, x or %</x:v>
      </x:c>
      <x:c r="F42" s="26" t="str">
        <x:v>https://stockanalysis.com/quote/nse/HAPPSTMNDS/statistics/</x:v>
      </x:c>
      <x:c r="G42" s="23" t="str">
        <x:v>Market snapshot</x:v>
      </x:c>
      <x:c r="H42" s="23"/>
      <x:c r="I42" s="23"/>
    </x:row>
    <x:row r="43" ht="33" customHeight="1">
      <x:c r="B43" s="22" t="str">
        <x:v>COFORGE</x:v>
      </x:c>
      <x:c r="C43" s="23" t="str">
        <x:v>2026-09-25</x:v>
      </x:c>
      <x:c r="D43" s="23" t="str">
        <x:v>Coforge observed trailing multiples</x:v>
      </x:c>
      <x:c r="E43" s="23" t="str">
        <x:v>₹/share, x or %</x:v>
      </x:c>
      <x:c r="F43" s="26" t="str">
        <x:v>https://stockanalysis.com/quote/nse/COFORGE/statistics/</x:v>
      </x:c>
      <x:c r="G43" s="23" t="str">
        <x:v>Market snapshot</x:v>
      </x:c>
      <x:c r="H43" s="23"/>
      <x:c r="I43" s="23"/>
    </x:row>
    <x:row r="44" ht="19" customHeight="1">
      <x:c r="B44" s="22"/>
      <x:c r="C44" s="23"/>
      <x:c r="D44" s="23"/>
      <x:c r="E44" s="23"/>
      <x:c r="F44" s="23"/>
      <x:c r="G44" s="23"/>
      <x:c r="H44" s="23"/>
      <x:c r="I44" s="23"/>
    </x:row>
    <x:row r="45" ht="19" customHeight="1">
      <x:c r="B45" s="22"/>
      <x:c r="C45" s="23"/>
      <x:c r="D45" s="23"/>
      <x:c r="E45" s="23"/>
      <x:c r="F45" s="23"/>
      <x:c r="G45" s="23"/>
      <x:c r="H45" s="23"/>
      <x:c r="I45" s="23"/>
    </x:row>
    <x:row r="46" ht="19" customHeight="1">
      <x:c r="B46" s="22"/>
      <x:c r="C46" s="23"/>
      <x:c r="D46" s="23"/>
      <x:c r="E46" s="23"/>
      <x:c r="F46" s="23"/>
      <x:c r="G46" s="23"/>
      <x:c r="H46" s="23"/>
      <x:c r="I46" s="23"/>
    </x:row>
    <x:row r="47" ht="19" customHeight="1">
      <x:c r="B47" s="22"/>
      <x:c r="C47" s="23"/>
      <x:c r="D47" s="23"/>
      <x:c r="E47" s="23"/>
      <x:c r="F47" s="23"/>
      <x:c r="G47" s="23"/>
      <x:c r="H47" s="23"/>
      <x:c r="I47" s="23"/>
    </x:row>
    <x:row r="48" ht="19" customHeight="1">
      <x:c r="B48" s="22"/>
      <x:c r="C48" s="23"/>
      <x:c r="D48" s="23"/>
      <x:c r="E48" s="23"/>
      <x:c r="F48" s="23"/>
      <x:c r="G48" s="23"/>
      <x:c r="H48" s="23"/>
      <x:c r="I48" s="23"/>
    </x:row>
    <x:row r="49" ht="19" customHeight="1">
      <x:c r="B49" s="22"/>
      <x:c r="C49" s="23"/>
      <x:c r="D49" s="23"/>
      <x:c r="E49" s="23"/>
      <x:c r="F49" s="23"/>
      <x:c r="G49" s="23"/>
      <x:c r="H49" s="23"/>
      <x:c r="I49" s="23"/>
    </x:row>
    <x:row r="50" ht="19" customHeight="1">
      <x:c r="B50" s="22"/>
      <x:c r="C50" s="23"/>
      <x:c r="D50" s="23"/>
      <x:c r="E50" s="23"/>
      <x:c r="F50" s="23"/>
      <x:c r="G50" s="23"/>
      <x:c r="H50" s="23"/>
      <x:c r="I50" s="23"/>
    </x:row>
    <x:row r="51" ht="19" customHeight="1">
      <x:c r="B51" s="22"/>
      <x:c r="C51" s="23"/>
      <x:c r="D51" s="23"/>
      <x:c r="E51" s="23"/>
      <x:c r="F51" s="23"/>
      <x:c r="G51" s="23"/>
      <x:c r="H51" s="23"/>
      <x:c r="I51" s="23"/>
    </x:row>
    <x:row r="52" ht="19" customHeight="1">
      <x:c r="B52" s="22"/>
      <x:c r="C52" s="23"/>
      <x:c r="D52" s="23"/>
      <x:c r="E52" s="23"/>
      <x:c r="F52" s="23"/>
      <x:c r="G52" s="23"/>
      <x:c r="H52" s="23"/>
      <x:c r="I52" s="23"/>
    </x:row>
    <x:row r="53" ht="19" customHeight="1">
      <x:c r="B53" s="22"/>
      <x:c r="C53" s="23"/>
      <x:c r="D53" s="23"/>
      <x:c r="E53" s="23"/>
      <x:c r="F53" s="23"/>
      <x:c r="G53" s="23"/>
      <x:c r="H53" s="23"/>
      <x:c r="I53" s="23"/>
    </x:row>
    <x:row r="54" ht="19" customHeight="1">
      <x:c r="B54" s="22"/>
      <x:c r="C54" s="23"/>
      <x:c r="D54" s="23"/>
      <x:c r="E54" s="23"/>
      <x:c r="F54" s="23"/>
      <x:c r="G54" s="23"/>
      <x:c r="H54" s="23"/>
      <x:c r="I54" s="23"/>
    </x:row>
    <x:row r="55" ht="19" customHeight="1">
      <x:c r="B55" s="22"/>
      <x:c r="C55" s="23"/>
      <x:c r="D55" s="23"/>
      <x:c r="E55" s="23"/>
      <x:c r="F55" s="23"/>
      <x:c r="G55" s="23"/>
      <x:c r="H55" s="23"/>
      <x:c r="I55" s="23"/>
    </x:row>
    <x:row r="56" ht="19" customHeight="1">
      <x:c r="B56" s="22"/>
      <x:c r="C56" s="23"/>
      <x:c r="D56" s="23"/>
      <x:c r="E56" s="23"/>
      <x:c r="F56" s="23"/>
      <x:c r="G56" s="23"/>
      <x:c r="H56" s="23"/>
      <x:c r="I56" s="23"/>
    </x:row>
    <x:row r="57" ht="19" customHeight="1">
      <x:c r="B57" s="22"/>
      <x:c r="C57" s="23"/>
      <x:c r="D57" s="23"/>
      <x:c r="E57" s="23"/>
      <x:c r="F57" s="23"/>
      <x:c r="G57" s="23"/>
      <x:c r="H57" s="23"/>
      <x:c r="I57" s="23"/>
    </x:row>
    <x:row r="58" ht="19" customHeight="1">
      <x:c r="B58" s="22"/>
      <x:c r="C58" s="23"/>
      <x:c r="D58" s="23"/>
      <x:c r="E58" s="23"/>
      <x:c r="F58" s="23"/>
      <x:c r="G58" s="23"/>
      <x:c r="H58" s="23"/>
      <x:c r="I58" s="23"/>
    </x:row>
    <x:row r="59" ht="19" customHeight="1">
      <x:c r="B59" s="22"/>
      <x:c r="C59" s="23"/>
      <x:c r="D59" s="23"/>
      <x:c r="E59" s="23"/>
      <x:c r="F59" s="23"/>
      <x:c r="G59" s="23"/>
      <x:c r="H59" s="23"/>
      <x:c r="I59" s="23"/>
    </x:row>
    <x:row r="60" ht="19" customHeight="1">
      <x:c r="B60" s="22"/>
      <x:c r="C60" s="23"/>
      <x:c r="D60" s="23"/>
      <x:c r="E60" s="23"/>
      <x:c r="F60" s="23"/>
      <x:c r="G60" s="23"/>
      <x:c r="H60" s="23"/>
      <x:c r="I60" s="23"/>
    </x:row>
    <x:row r="61" ht="19" customHeight="1">
      <x:c r="B61" s="22"/>
      <x:c r="C61" s="23"/>
      <x:c r="D61" s="23"/>
      <x:c r="E61" s="23"/>
      <x:c r="F61" s="23"/>
      <x:c r="G61" s="23"/>
      <x:c r="H61" s="23"/>
      <x:c r="I61" s="23"/>
    </x:row>
    <x:row r="62" ht="19" customHeight="1">
      <x:c r="B62" s="22"/>
      <x:c r="C62" s="23"/>
      <x:c r="D62" s="23"/>
      <x:c r="E62" s="23"/>
      <x:c r="F62" s="23"/>
      <x:c r="G62" s="23"/>
      <x:c r="H62" s="23"/>
      <x:c r="I62" s="23"/>
    </x:row>
    <x:row r="63" ht="19" customHeight="1">
      <x:c r="B63" s="22"/>
      <x:c r="C63" s="23"/>
      <x:c r="D63" s="23"/>
      <x:c r="E63" s="23"/>
      <x:c r="F63" s="23"/>
      <x:c r="G63" s="23"/>
      <x:c r="H63" s="23"/>
      <x:c r="I63" s="23"/>
    </x:row>
    <x:row r="64" ht="19" customHeight="1">
      <x:c r="B64" s="22"/>
      <x:c r="C64" s="23"/>
      <x:c r="D64" s="23"/>
      <x:c r="E64" s="23"/>
      <x:c r="F64" s="23"/>
      <x:c r="G64" s="23"/>
      <x:c r="H64" s="23"/>
      <x:c r="I64" s="23"/>
    </x:row>
    <x:row r="65" ht="19" customHeight="1">
      <x:c r="B65" s="22"/>
      <x:c r="C65" s="23"/>
      <x:c r="D65" s="23"/>
      <x:c r="E65" s="23"/>
      <x:c r="F65" s="23"/>
      <x:c r="G65" s="23"/>
      <x:c r="H65" s="23"/>
      <x:c r="I65" s="23"/>
    </x:row>
    <x:row r="66" ht="19" customHeight="1">
      <x:c r="B66" s="22"/>
      <x:c r="C66" s="23"/>
      <x:c r="D66" s="23"/>
      <x:c r="E66" s="23"/>
      <x:c r="F66" s="23"/>
      <x:c r="G66" s="23"/>
      <x:c r="H66" s="23"/>
      <x:c r="I66" s="23"/>
    </x:row>
    <x:row r="67" ht="19" customHeight="1">
      <x:c r="B67" s="22"/>
      <x:c r="C67" s="23"/>
      <x:c r="D67" s="23"/>
      <x:c r="E67" s="23"/>
      <x:c r="F67" s="23"/>
      <x:c r="G67" s="23"/>
      <x:c r="H67" s="23"/>
      <x:c r="I67" s="23"/>
    </x:row>
    <x:row r="68" ht="19" customHeight="1">
      <x:c r="B68" s="22"/>
      <x:c r="C68" s="23"/>
      <x:c r="D68" s="23"/>
      <x:c r="E68" s="23"/>
      <x:c r="F68" s="23"/>
      <x:c r="G68" s="23"/>
      <x:c r="H68" s="23"/>
      <x:c r="I68" s="23"/>
    </x:row>
    <x:row r="69" ht="19" customHeight="1">
      <x:c r="B69" s="22"/>
      <x:c r="C69" s="23"/>
      <x:c r="D69" s="23"/>
      <x:c r="E69" s="23"/>
      <x:c r="F69" s="23"/>
      <x:c r="G69" s="23"/>
      <x:c r="H69" s="23"/>
      <x:c r="I69" s="23"/>
    </x:row>
    <x:row r="70" ht="19" customHeight="1">
      <x:c r="B70" s="22"/>
      <x:c r="C70" s="23"/>
      <x:c r="D70" s="23"/>
      <x:c r="E70" s="23"/>
      <x:c r="F70" s="23"/>
      <x:c r="G70" s="23"/>
      <x:c r="H70" s="23"/>
      <x:c r="I70" s="23"/>
    </x:row>
    <x:row r="71" ht="19" customHeight="1">
      <x:c r="B71" s="22"/>
      <x:c r="C71" s="23"/>
      <x:c r="D71" s="23"/>
      <x:c r="E71" s="23"/>
      <x:c r="F71" s="23"/>
      <x:c r="G71" s="23"/>
      <x:c r="H71" s="23"/>
      <x:c r="I71" s="23"/>
    </x:row>
    <x:row r="72" ht="19" customHeight="1">
      <x:c r="B72" s="22"/>
      <x:c r="C72" s="23"/>
      <x:c r="D72" s="23"/>
      <x:c r="E72" s="23"/>
      <x:c r="F72" s="23"/>
      <x:c r="G72" s="23"/>
      <x:c r="H72" s="23"/>
      <x:c r="I72" s="23"/>
    </x:row>
    <x:row r="73" ht="19" customHeight="1">
      <x:c r="B73" s="22"/>
      <x:c r="C73" s="23"/>
      <x:c r="D73" s="23"/>
      <x:c r="E73" s="23"/>
      <x:c r="F73" s="23"/>
      <x:c r="G73" s="23"/>
      <x:c r="H73" s="23"/>
      <x:c r="I73" s="23"/>
    </x:row>
    <x:row r="74" ht="19" customHeight="1">
      <x:c r="B74" s="22"/>
      <x:c r="C74" s="23"/>
      <x:c r="D74" s="23"/>
      <x:c r="E74" s="23"/>
      <x:c r="F74" s="23"/>
      <x:c r="G74" s="23"/>
      <x:c r="H74" s="23"/>
      <x:c r="I74" s="23"/>
    </x:row>
    <x:row r="75" ht="19" customHeight="1">
      <x:c r="B75" s="22"/>
      <x:c r="C75" s="23"/>
      <x:c r="D75" s="23"/>
      <x:c r="E75" s="23"/>
      <x:c r="F75" s="23"/>
      <x:c r="G75" s="23"/>
      <x:c r="H75" s="23"/>
      <x:c r="I75" s="23"/>
    </x:row>
    <x:row r="76" ht="19" customHeight="1">
      <x:c r="B76" s="22"/>
      <x:c r="C76" s="23"/>
      <x:c r="D76" s="23"/>
      <x:c r="E76" s="23"/>
      <x:c r="F76" s="23"/>
      <x:c r="G76" s="23"/>
      <x:c r="H76" s="23"/>
      <x:c r="I76" s="23"/>
    </x:row>
    <x:row r="77" ht="19" customHeight="1">
      <x:c r="B77" s="22"/>
      <x:c r="C77" s="23"/>
      <x:c r="D77" s="23"/>
      <x:c r="E77" s="23"/>
      <x:c r="F77" s="23"/>
      <x:c r="G77" s="23"/>
      <x:c r="H77" s="23"/>
      <x:c r="I77" s="23"/>
    </x:row>
    <x:row r="78" ht="19" customHeight="1">
      <x:c r="B78" s="22"/>
      <x:c r="C78" s="23"/>
      <x:c r="D78" s="23"/>
      <x:c r="E78" s="23"/>
      <x:c r="F78" s="23"/>
      <x:c r="G78" s="23"/>
      <x:c r="H78" s="23"/>
      <x:c r="I78" s="23"/>
    </x:row>
    <x:row r="79" ht="19" customHeight="1">
      <x:c r="B79" s="22"/>
      <x:c r="C79" s="23"/>
      <x:c r="D79" s="23"/>
      <x:c r="E79" s="23"/>
      <x:c r="F79" s="23"/>
      <x:c r="G79" s="23"/>
      <x:c r="H79" s="23"/>
      <x:c r="I79" s="23"/>
    </x:row>
    <x:row r="80" ht="19" customHeight="1">
      <x:c r="B80" s="22"/>
      <x:c r="C80" s="23"/>
      <x:c r="D80" s="23"/>
      <x:c r="E80" s="23"/>
      <x:c r="F80" s="23"/>
      <x:c r="G80" s="23"/>
      <x:c r="H80" s="23"/>
      <x:c r="I80" s="23"/>
    </x:row>
    <x:row r="81" ht="19" customHeight="1">
      <x:c r="B81" s="22"/>
      <x:c r="C81" s="23"/>
      <x:c r="D81" s="23"/>
      <x:c r="E81" s="23"/>
      <x:c r="F81" s="23"/>
      <x:c r="G81" s="23"/>
      <x:c r="H81" s="23"/>
      <x:c r="I81" s="23"/>
    </x:row>
    <x:row r="82" ht="19" customHeight="1">
      <x:c r="B82" s="22"/>
      <x:c r="C82" s="23"/>
      <x:c r="D82" s="23"/>
      <x:c r="E82" s="23"/>
      <x:c r="F82" s="23"/>
      <x:c r="G82" s="23"/>
      <x:c r="H82" s="23"/>
      <x:c r="I82" s="23"/>
    </x:row>
  </x:sheetData>
  <x:mergeCells>
    <x:mergeCell ref="B2:I2"/>
    <x:mergeCell ref="B3:I3"/>
    <x:mergeCell ref="B18:I18"/>
    <x:mergeCell ref="B20:I20"/>
    <x:mergeCell ref="B21:I21"/>
    <x:mergeCell ref="B22:I22"/>
    <x:mergeCell ref="B23:I23"/>
    <x:mergeCell ref="B24:I24"/>
    <x:mergeCell ref="B25:I25"/>
    <x:mergeCell ref="B26:I26"/>
    <x:mergeCell ref="B27:I27"/>
    <x:mergeCell ref="B28:I2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AUDITED PROFIT &amp; LOSS INPUTS</x:v>
      </x:c>
      <x:c r="C2" s="4"/>
      <x:c r="D2" s="4"/>
      <x:c r="E2" s="4"/>
      <x:c r="F2" s="4"/>
      <x:c r="G2" s="4"/>
      <x:c r="H2" s="4"/>
      <x:c r="I2" s="4"/>
    </x:row>
    <x:row r="3" ht="23" customHeight="1">
      <x:c r="B3" s="9" t="str">
        <x:v>FY25/FY26 standalone, Q1 FY27 unaudited. FY25 prior Hotels results excluded from continuing profit.</x:v>
      </x:c>
      <x:c r="C3" s="9"/>
      <x:c r="D3" s="9"/>
      <x:c r="E3" s="9"/>
      <x:c r="F3" s="9"/>
      <x:c r="G3" s="9"/>
      <x:c r="H3" s="9"/>
      <x:c r="I3" s="9"/>
    </x:row>
    <x:row r="4" ht="24" customHeight="1">
      <x:c r="B4" s="18" t="str">
        <x:v>ITC LIMITED  •  ₹ crore unless noted</x:v>
      </x:c>
      <x:c r="C4" s="14" t="str">
        <x:v>FY25A</x:v>
      </x:c>
      <x:c r="D4" s="14" t="str">
        <x:v>FY26A</x:v>
      </x:c>
      <x:c r="E4" s="14" t="str">
        <x:v>Q1 FY27A</x:v>
      </x:c>
      <x:c r="F4" s="14" t="str"/>
      <x:c r="G4" s="14" t="str"/>
      <x:c r="H4" s="14" t="str"/>
      <x:c r="I4" s="14" t="str"/>
    </x:row>
    <x:row r="5" ht="19" customHeight="1">
      <x:c r="B5" s="22"/>
      <x:c r="C5" s="228"/>
      <x:c r="D5" s="228"/>
      <x:c r="E5" s="228"/>
      <x:c r="F5" s="228"/>
      <x:c r="G5" s="228"/>
      <x:c r="H5" s="228"/>
      <x:c r="I5" s="228"/>
    </x:row>
    <x:row r="6" ht="21" customHeight="1">
      <x:c r="B6" s="32" t="str">
        <x:v>REPORTED STANDALONE INPUTS  •  ₹ CRORE</x:v>
      </x:c>
      <x:c r="C6" s="229"/>
      <x:c r="D6" s="229"/>
      <x:c r="E6" s="229"/>
      <x:c r="F6" s="229"/>
      <x:c r="G6" s="229"/>
      <x:c r="H6" s="229"/>
      <x:c r="I6" s="229"/>
    </x:row>
    <x:row r="7" ht="22" customHeight="1">
      <x:c r="B7" s="96" t="str">
        <x:v>Revenue from operations</x:v>
      </x:c>
      <x:c r="C7" s="230" t="n">
        <x:v>74236.07</x:v>
      </x:c>
      <x:c r="D7" s="230" t="n">
        <x:v>81640.11</x:v>
      </x:c>
      <x:c r="E7" s="230" t="n">
        <x:v>26943.23</x:v>
      </x:c>
      <x:c r="F7" s="231"/>
      <x:c r="G7" s="231"/>
      <x:c r="H7" s="231"/>
      <x:c r="I7" s="231"/>
    </x:row>
    <x:row r="8" ht="19" customHeight="1">
      <x:c r="B8" s="22" t="str">
        <x:v>Gross revenue products and services</x:v>
      </x:c>
      <x:c r="C8" s="232" t="n">
        <x:v>73464.55</x:v>
      </x:c>
      <x:c r="D8" s="232" t="n">
        <x:v>80867.49</x:v>
      </x:c>
      <x:c r="E8" s="232" t="n">
        <x:v>26794.47</x:v>
      </x:c>
      <x:c r="F8" s="228"/>
      <x:c r="G8" s="228"/>
      <x:c r="H8" s="228"/>
      <x:c r="I8" s="228"/>
    </x:row>
    <x:row r="9" ht="19" customHeight="1">
      <x:c r="B9" s="22" t="str">
        <x:v>Other operating revenue</x:v>
      </x:c>
      <x:c r="C9" s="232" t="n">
        <x:v>771.52</x:v>
      </x:c>
      <x:c r="D9" s="232" t="n">
        <x:v>772.62</x:v>
      </x:c>
      <x:c r="E9" s="232" t="n">
        <x:v>148.76</x:v>
      </x:c>
      <x:c r="F9" s="228"/>
      <x:c r="G9" s="228"/>
      <x:c r="H9" s="228"/>
      <x:c r="I9" s="228"/>
    </x:row>
    <x:row r="10" ht="19" customHeight="1">
      <x:c r="B10" s="22" t="str">
        <x:v>Excise duty expensed</x:v>
      </x:c>
      <x:c r="C10" s="232" t="n">
        <x:v>4912.55</x:v>
      </x:c>
      <x:c r="D10" s="232" t="n">
        <x:v>9656.33</x:v>
      </x:c>
      <x:c r="E10" s="232" t="n">
        <x:v>10035.63</x:v>
      </x:c>
      <x:c r="F10" s="228"/>
      <x:c r="G10" s="228"/>
      <x:c r="H10" s="228"/>
      <x:c r="I10" s="228"/>
    </x:row>
    <x:row r="11" ht="22" customHeight="1">
      <x:c r="B11" s="108" t="str">
        <x:v>Ex-excise operating revenue</x:v>
      </x:c>
      <x:c r="C11" s="233" t="n">
        <x:f>C7-C10</x:f>
        <x:v>69323.52</x:v>
      </x:c>
      <x:c r="D11" s="233" t="n">
        <x:f>D7-D10</x:f>
        <x:v>71983.78</x:v>
      </x:c>
      <x:c r="E11" s="233" t="n">
        <x:f>E7-E10</x:f>
        <x:v>16907.6</x:v>
      </x:c>
      <x:c r="F11" s="234"/>
      <x:c r="G11" s="234"/>
      <x:c r="H11" s="234"/>
      <x:c r="I11" s="234"/>
    </x:row>
    <x:row r="12" ht="19" customHeight="1">
      <x:c r="B12" s="22" t="str">
        <x:v>Excise / net operating revenue</x:v>
      </x:c>
      <x:c r="C12" s="284" t="n">
        <x:f>IFERROR(C10/C11,0)</x:f>
        <x:v>0.0708641165364944</x:v>
      </x:c>
      <x:c r="D12" s="284" t="n">
        <x:f>IFERROR(D10/D11,0)</x:f>
        <x:v>0.13414591453796954</x:v>
      </x:c>
      <x:c r="E12" s="284" t="n">
        <x:f>IFERROR(E10/E11,0)</x:f>
        <x:v>0.5935573351628853</x:v>
      </x:c>
      <x:c r="F12" s="285"/>
      <x:c r="G12" s="285"/>
      <x:c r="H12" s="285"/>
      <x:c r="I12" s="285"/>
    </x:row>
    <x:row r="13" ht="19" customHeight="1">
      <x:c r="B13" s="22" t="str">
        <x:v>Other income</x:v>
      </x:c>
      <x:c r="C13" s="232" t="n">
        <x:v>3454.31</x:v>
      </x:c>
      <x:c r="D13" s="232" t="n">
        <x:v>3287.18</x:v>
      </x:c>
      <x:c r="E13" s="232" t="n">
        <x:v>645.33</x:v>
      </x:c>
      <x:c r="F13" s="228"/>
      <x:c r="G13" s="228"/>
      <x:c r="H13" s="228"/>
      <x:c r="I13" s="228"/>
    </x:row>
    <x:row r="14" ht="19" customHeight="1">
      <x:c r="B14" s="22" t="str">
        <x:v>Finance cost</x:v>
      </x:c>
      <x:c r="C14" s="232" t="n">
        <x:v>36.35</x:v>
      </x:c>
      <x:c r="D14" s="232" t="n">
        <x:v>69.94</x:v>
      </x:c>
      <x:c r="E14" s="232" t="n">
        <x:v>33.78</x:v>
      </x:c>
      <x:c r="F14" s="228"/>
      <x:c r="G14" s="228"/>
      <x:c r="H14" s="228"/>
      <x:c r="I14" s="228"/>
    </x:row>
    <x:row r="15" ht="19" customHeight="1">
      <x:c r="B15" s="22" t="str">
        <x:v>D&amp;A as recorded in P&amp;L</x:v>
      </x:c>
      <x:c r="C15" s="232" t="n">
        <x:v>1441.93</x:v>
      </x:c>
      <x:c r="D15" s="232" t="n">
        <x:v>1473.99</x:v>
      </x:c>
      <x:c r="E15" s="232" t="n">
        <x:v>366.48</x:v>
      </x:c>
      <x:c r="F15" s="228"/>
      <x:c r="G15" s="228"/>
      <x:c r="H15" s="228"/>
      <x:c r="I15" s="228"/>
    </x:row>
    <x:row r="16" ht="22" customHeight="1">
      <x:c r="B16" s="96" t="str">
        <x:v>PBT before exceptional items</x:v>
      </x:c>
      <x:c r="C16" s="230" t="n">
        <x:v>26000.86</x:v>
      </x:c>
      <x:c r="D16" s="230" t="n">
        <x:v>26951.47</x:v>
      </x:c>
      <x:c r="E16" s="230" t="n">
        <x:v>4759.41</x:v>
      </x:c>
      <x:c r="F16" s="231"/>
      <x:c r="G16" s="231"/>
      <x:c r="H16" s="231"/>
      <x:c r="I16" s="231"/>
    </x:row>
    <x:row r="17" ht="19" customHeight="1">
      <x:c r="B17" s="22" t="str">
        <x:v>Exceptional item income/(expense)</x:v>
      </x:c>
      <x:c r="C17" s="232" t="n">
        <x:v>527.96</x:v>
      </x:c>
      <x:c r="D17" s="232" t="n">
        <x:v>-183.87</x:v>
      </x:c>
      <x:c r="E17" s="232" t="n">
        <x:v>0</x:v>
      </x:c>
      <x:c r="F17" s="228"/>
      <x:c r="G17" s="228"/>
      <x:c r="H17" s="228"/>
      <x:c r="I17" s="228"/>
    </x:row>
    <x:row r="18" ht="22" customHeight="1">
      <x:c r="B18" s="96" t="str">
        <x:v>Reported continuing PBT</x:v>
      </x:c>
      <x:c r="C18" s="230" t="n">
        <x:v>26528.82</x:v>
      </x:c>
      <x:c r="D18" s="230" t="n">
        <x:v>26767.6</x:v>
      </x:c>
      <x:c r="E18" s="230" t="n">
        <x:v>4759.41</x:v>
      </x:c>
      <x:c r="F18" s="231"/>
      <x:c r="G18" s="231"/>
      <x:c r="H18" s="231"/>
      <x:c r="I18" s="231"/>
    </x:row>
    <x:row r="19" ht="19" customHeight="1">
      <x:c r="B19" s="22" t="str">
        <x:v>Income tax expense</x:v>
      </x:c>
      <x:c r="C19" s="232" t="n">
        <x:v>6436.97</x:v>
      </x:c>
      <x:c r="D19" s="232" t="n">
        <x:v>6481.18</x:v>
      </x:c>
      <x:c r="E19" s="232" t="n">
        <x:v>1180.59</x:v>
      </x:c>
      <x:c r="F19" s="228"/>
      <x:c r="G19" s="228"/>
      <x:c r="H19" s="228"/>
      <x:c r="I19" s="228"/>
    </x:row>
    <x:row r="20" ht="22" customHeight="1">
      <x:c r="B20" s="108" t="str">
        <x:v>PAT — continuing operations</x:v>
      </x:c>
      <x:c r="C20" s="236" t="n">
        <x:v>20091.85</x:v>
      </x:c>
      <x:c r="D20" s="236" t="n">
        <x:v>20286.42</x:v>
      </x:c>
      <x:c r="E20" s="236" t="n">
        <x:v>3578.82</x:v>
      </x:c>
      <x:c r="F20" s="234"/>
      <x:c r="G20" s="234"/>
      <x:c r="H20" s="234"/>
      <x:c r="I20" s="234"/>
    </x:row>
    <x:row r="21" ht="19" customHeight="1">
      <x:c r="B21" s="22" t="str">
        <x:v>PAT — discontinued Hotels operations</x:v>
      </x:c>
      <x:c r="C21" s="232" t="n">
        <x:v>15103.76</x:v>
      </x:c>
      <x:c r="D21" s="232" t="n">
        <x:v>0</x:v>
      </x:c>
      <x:c r="E21" s="232" t="n">
        <x:v>0</x:v>
      </x:c>
      <x:c r="F21" s="228"/>
      <x:c r="G21" s="228"/>
      <x:c r="H21" s="228"/>
      <x:c r="I21" s="228"/>
    </x:row>
    <x:row r="22" ht="22" customHeight="1">
      <x:c r="B22" s="96" t="str">
        <x:v>PAT — as reported incl discontinued</x:v>
      </x:c>
      <x:c r="C22" s="230" t="n">
        <x:v>35195.61</x:v>
      </x:c>
      <x:c r="D22" s="230" t="n">
        <x:v>20286.42</x:v>
      </x:c>
      <x:c r="E22" s="230" t="n">
        <x:v>3578.82</x:v>
      </x:c>
      <x:c r="F22" s="231"/>
      <x:c r="G22" s="231"/>
      <x:c r="H22" s="231"/>
      <x:c r="I22" s="231"/>
    </x:row>
    <x:row r="23" ht="19" customHeight="1">
      <x:c r="B23" s="22" t="str">
        <x:v>Continuing basic EPS (₹)</x:v>
      </x:c>
      <x:c r="C23" s="292" t="n">
        <x:v>16.07</x:v>
      </x:c>
      <x:c r="D23" s="292" t="n">
        <x:v>16.2</x:v>
      </x:c>
      <x:c r="E23" s="292" t="n">
        <x:v>2.86</x:v>
      </x:c>
      <x:c r="F23" s="293"/>
      <x:c r="G23" s="293"/>
      <x:c r="H23" s="293"/>
      <x:c r="I23" s="293"/>
    </x:row>
    <x:row r="24" ht="19" customHeight="1">
      <x:c r="B24" s="22" t="str">
        <x:v>Full-year dividend per share (₹)</x:v>
      </x:c>
      <x:c r="C24" s="292" t="n">
        <x:v>14.35</x:v>
      </x:c>
      <x:c r="D24" s="292" t="n">
        <x:v>14.5</x:v>
      </x:c>
      <x:c r="E24" s="293"/>
      <x:c r="F24" s="293"/>
      <x:c r="G24" s="293"/>
      <x:c r="H24" s="293"/>
      <x:c r="I24" s="293"/>
    </x:row>
    <x:row r="25" ht="19" customHeight="1">
      <x:c r="B25" s="22"/>
      <x:c r="C25" s="228"/>
      <x:c r="D25" s="228"/>
      <x:c r="E25" s="228"/>
      <x:c r="F25" s="228"/>
      <x:c r="G25" s="228"/>
      <x:c r="H25" s="228"/>
      <x:c r="I25" s="228"/>
    </x:row>
    <x:row r="26" ht="19" customHeight="1">
      <x:c r="B26" s="22"/>
      <x:c r="C26" s="228"/>
      <x:c r="D26" s="228"/>
      <x:c r="E26" s="228"/>
      <x:c r="F26" s="228"/>
      <x:c r="G26" s="228"/>
      <x:c r="H26" s="228"/>
      <x:c r="I26" s="228"/>
    </x:row>
    <x:row r="27" ht="27" customHeight="1">
      <x:c r="B27" s="120" t="str">
        <x:v>FY25 PAT ₹35,196 crore is NOT normalized: ₹15,104 crore is reported as discontinued operations (Hotels demerger). Keep this apart from continuing PAT.</x:v>
      </x:c>
      <x:c r="C27" s="237"/>
      <x:c r="D27" s="237"/>
      <x:c r="E27" s="237"/>
      <x:c r="F27" s="237"/>
      <x:c r="G27" s="237"/>
      <x:c r="H27" s="237"/>
      <x:c r="I27" s="237"/>
    </x:row>
    <x:row r="28" ht="27" customHeight="1">
      <x:c r="B28" s="120" t="str">
        <x:v>FY26 reported excise duty ₹9,656 crore versus Q1 FY27 alone ₹10,036 crore. A naïve gross revenue annualization produces a false impression of cigarette growth.</x:v>
      </x:c>
      <x:c r="C28" s="237"/>
      <x:c r="D28" s="237"/>
      <x:c r="E28" s="237"/>
      <x:c r="F28" s="237"/>
      <x:c r="G28" s="237"/>
      <x:c r="H28" s="237"/>
      <x:c r="I28" s="237"/>
    </x:row>
    <x:row r="29" ht="19" customHeight="1">
      <x:c r="B29" s="22"/>
      <x:c r="C29" s="228"/>
      <x:c r="D29" s="228"/>
      <x:c r="E29" s="228"/>
      <x:c r="F29" s="228"/>
      <x:c r="G29" s="228"/>
      <x:c r="H29" s="228"/>
      <x:c r="I29" s="228"/>
    </x:row>
    <x:row r="30" ht="19" customHeight="1">
      <x:c r="B30" s="22"/>
      <x:c r="C30" s="228"/>
      <x:c r="D30" s="228"/>
      <x:c r="E30" s="228"/>
      <x:c r="F30" s="228"/>
      <x:c r="G30" s="228"/>
      <x:c r="H30" s="228"/>
      <x:c r="I30" s="228"/>
    </x:row>
    <x:row r="31" ht="19" customHeight="1">
      <x:c r="B31" s="22"/>
      <x:c r="C31" s="228"/>
      <x:c r="D31" s="228"/>
      <x:c r="E31" s="228"/>
      <x:c r="F31" s="228"/>
      <x:c r="G31" s="228"/>
      <x:c r="H31" s="228"/>
      <x:c r="I31" s="228"/>
    </x:row>
    <x:row r="32" ht="19" customHeight="1">
      <x:c r="B32" s="22"/>
      <x:c r="C32" s="228"/>
      <x:c r="D32" s="228"/>
      <x:c r="E32" s="228"/>
      <x:c r="F32" s="228"/>
      <x:c r="G32" s="228"/>
      <x:c r="H32" s="228"/>
      <x:c r="I32" s="228"/>
    </x:row>
    <x:row r="33" ht="19" customHeight="1">
      <x:c r="B33" s="22"/>
      <x:c r="C33" s="228"/>
      <x:c r="D33" s="228"/>
      <x:c r="E33" s="228"/>
      <x:c r="F33" s="228"/>
      <x:c r="G33" s="228"/>
      <x:c r="H33" s="228"/>
      <x:c r="I33" s="228"/>
    </x:row>
    <x:row r="34" ht="19" customHeight="1">
      <x:c r="B34" s="22"/>
      <x:c r="C34" s="228"/>
      <x:c r="D34" s="228"/>
      <x:c r="E34" s="228"/>
      <x:c r="F34" s="228"/>
      <x:c r="G34" s="228"/>
      <x:c r="H34" s="228"/>
      <x:c r="I34" s="228"/>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19" customHeight="1">
      <x:c r="B38" s="22"/>
      <x:c r="C38" s="228"/>
      <x:c r="D38" s="228"/>
      <x:c r="E38" s="228"/>
      <x:c r="F38" s="228"/>
      <x:c r="G38" s="228"/>
      <x:c r="H38" s="228"/>
      <x:c r="I38" s="228"/>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43" customHeight="1">
      <x:c r="B48" s="207" t="str">
        <x:v>Historical numbers: FY25  https://nsearchives.nseindia.com/corporate/ixbrl/INTEGRATED_FILING_INDAS_92862_22052025181843_iXBRL_WEB.html  |  FY26  https://nsearchives.nseindia.com/corporate/ixbrl/INTEGRATED_FILING_INDAS_159755_21052026183213_iXBRL_WEB.html  |  Q1FY27  https://nsearchives.nseindia.com/corporate/ixbrl/INTEGRATED_FILING_INDAS_181204_31072026172335_iXBRL_WEB.html</x:v>
      </x:c>
      <x:c r="C48" s="238"/>
      <x:c r="D48" s="238"/>
      <x:c r="E48" s="238"/>
      <x:c r="F48" s="238"/>
      <x:c r="G48" s="238"/>
      <x:c r="H48" s="238"/>
      <x:c r="I48" s="23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27:I27"/>
    <x:mergeCell ref="B28:I28"/>
    <x:mergeCell ref="B48:I4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AUDITED SEGMENT INPUTS</x:v>
      </x:c>
      <x:c r="C2" s="4"/>
      <x:c r="D2" s="4"/>
      <x:c r="E2" s="4"/>
      <x:c r="F2" s="4"/>
      <x:c r="G2" s="4"/>
      <x:c r="H2" s="4"/>
      <x:c r="I2" s="4"/>
    </x:row>
    <x:row r="3" ht="23" customHeight="1">
      <x:c r="B3" s="9" t="str">
        <x:v>Segment revenue includes internal sales and (in cigarettes) disclosed excise. FY25 originally filed basis.</x:v>
      </x:c>
      <x:c r="C3" s="9"/>
      <x:c r="D3" s="9"/>
      <x:c r="E3" s="9"/>
      <x:c r="F3" s="9"/>
      <x:c r="G3" s="9"/>
      <x:c r="H3" s="9"/>
      <x:c r="I3" s="9"/>
    </x:row>
    <x:row r="4" ht="24" customHeight="1">
      <x:c r="B4" s="18" t="str">
        <x:v>ITC LIMITED  •  ₹ crore unless noted</x:v>
      </x:c>
      <x:c r="C4" s="14" t="str">
        <x:v>FY25A</x:v>
      </x:c>
      <x:c r="D4" s="14" t="str">
        <x:v>FY26A</x:v>
      </x:c>
      <x:c r="E4" s="14" t="str">
        <x:v>Q1 FY27A</x:v>
      </x:c>
      <x:c r="F4" s="14" t="str"/>
      <x:c r="G4" s="14" t="str"/>
      <x:c r="H4" s="14" t="str"/>
      <x:c r="I4" s="14" t="str"/>
    </x:row>
    <x:row r="5" ht="19" customHeight="1">
      <x:c r="B5" s="22"/>
      <x:c r="C5" s="228"/>
      <x:c r="D5" s="228"/>
      <x:c r="E5" s="228"/>
      <x:c r="F5" s="228"/>
      <x:c r="G5" s="228"/>
      <x:c r="H5" s="228"/>
      <x:c r="I5" s="228"/>
    </x:row>
    <x:row r="6" ht="21" customHeight="1">
      <x:c r="B6" s="32" t="str">
        <x:v>SEGMENT REVENUE</x:v>
      </x:c>
      <x:c r="C6" s="229"/>
      <x:c r="D6" s="229"/>
      <x:c r="E6" s="229"/>
      <x:c r="F6" s="229"/>
      <x:c r="G6" s="229"/>
      <x:c r="H6" s="229"/>
      <x:c r="I6" s="229"/>
    </x:row>
    <x:row r="7" ht="19" customHeight="1">
      <x:c r="B7" s="22" t="str">
        <x:v>Cigarettes</x:v>
      </x:c>
      <x:c r="C7" s="232" t="n">
        <x:v>32631.27</x:v>
      </x:c>
      <x:c r="D7" s="232" t="n">
        <x:v>37099.65</x:v>
      </x:c>
      <x:c r="E7" s="232" t="n">
        <x:v>15383.55</x:v>
      </x:c>
      <x:c r="F7" s="228"/>
      <x:c r="G7" s="228"/>
      <x:c r="H7" s="228"/>
      <x:c r="I7" s="228"/>
    </x:row>
    <x:row r="8" ht="19" customHeight="1">
      <x:c r="B8" s="22" t="str">
        <x:v>FMCG — Others</x:v>
      </x:c>
      <x:c r="C8" s="232" t="n">
        <x:v>21981.57</x:v>
      </x:c>
      <x:c r="D8" s="232" t="n">
        <x:v>24209.75</x:v>
      </x:c>
      <x:c r="E8" s="232" t="n">
        <x:v>6481.95</x:v>
      </x:c>
      <x:c r="F8" s="228"/>
      <x:c r="G8" s="228"/>
      <x:c r="H8" s="228"/>
      <x:c r="I8" s="228"/>
    </x:row>
    <x:row r="9" ht="19" customHeight="1">
      <x:c r="B9" s="22" t="str">
        <x:v>Agri Business</x:v>
      </x:c>
      <x:c r="C9" s="232" t="n">
        <x:v>19753.8</x:v>
      </x:c>
      <x:c r="D9" s="232" t="n">
        <x:v>20296.4</x:v>
      </x:c>
      <x:c r="E9" s="232" t="n">
        <x:v>8082.06</x:v>
      </x:c>
      <x:c r="F9" s="228"/>
      <x:c r="G9" s="228"/>
      <x:c r="H9" s="228"/>
      <x:c r="I9" s="228"/>
    </x:row>
    <x:row r="10" ht="19" customHeight="1">
      <x:c r="B10" s="22" t="str">
        <x:v>Paperboards, Paper &amp; Packaging</x:v>
      </x:c>
      <x:c r="C10" s="232" t="n">
        <x:v>8422.81</x:v>
      </x:c>
      <x:c r="D10" s="232" t="n">
        <x:v>8765.61</x:v>
      </x:c>
      <x:c r="E10" s="232" t="n">
        <x:v>2307.24</x:v>
      </x:c>
      <x:c r="F10" s="228"/>
      <x:c r="G10" s="228"/>
      <x:c r="H10" s="228"/>
      <x:c r="I10" s="228"/>
    </x:row>
    <x:row r="11" ht="19" customHeight="1">
      <x:c r="B11" s="22" t="str">
        <x:v>Other businesses</x:v>
      </x:c>
      <x:c r="C11" s="232" t="n">
        <x:v>167.37</x:v>
      </x:c>
      <x:c r="D11" s="232" t="n">
        <x:v>341.79</x:v>
      </x:c>
      <x:c r="E11" s="232" t="n">
        <x:v>96.89</x:v>
      </x:c>
      <x:c r="F11" s="228"/>
      <x:c r="G11" s="228"/>
      <x:c r="H11" s="228"/>
      <x:c r="I11" s="228"/>
    </x:row>
    <x:row r="12" ht="22" customHeight="1">
      <x:c r="B12" s="96" t="str">
        <x:v>Total segment revenue</x:v>
      </x:c>
      <x:c r="C12" s="250" t="n">
        <x:f>SUM(C7:C11)</x:f>
        <x:v>82956.81999999999</x:v>
      </x:c>
      <x:c r="D12" s="250" t="n">
        <x:f>SUM(D7:D11)</x:f>
        <x:v>90713.2</x:v>
      </x:c>
      <x:c r="E12" s="250" t="n">
        <x:f>SUM(E7:E11)</x:f>
        <x:v>32351.690000000002</x:v>
      </x:c>
      <x:c r="F12" s="231"/>
      <x:c r="G12" s="231"/>
      <x:c r="H12" s="231"/>
      <x:c r="I12" s="231"/>
    </x:row>
    <x:row r="13" ht="19" customHeight="1">
      <x:c r="B13" s="22" t="str">
        <x:v>Inter-segment elimination</x:v>
      </x:c>
      <x:c r="C13" s="232" t="n">
        <x:v>9492.27</x:v>
      </x:c>
      <x:c r="D13" s="232" t="n">
        <x:v>9845.71</x:v>
      </x:c>
      <x:c r="E13" s="232" t="n">
        <x:v>5557.22</x:v>
      </x:c>
      <x:c r="F13" s="228"/>
      <x:c r="G13" s="228"/>
      <x:c r="H13" s="228"/>
      <x:c r="I13" s="228"/>
    </x:row>
    <x:row r="14" ht="22" customHeight="1">
      <x:c r="B14" s="108" t="str">
        <x:v>Gross product revenue after elimination</x:v>
      </x:c>
      <x:c r="C14" s="233" t="n">
        <x:f>C12-C13</x:f>
        <x:v>73464.54999999999</x:v>
      </x:c>
      <x:c r="D14" s="233" t="n">
        <x:f>D12-D13</x:f>
        <x:v>80867.48999999999</x:v>
      </x:c>
      <x:c r="E14" s="233" t="n">
        <x:f>E12-E13</x:f>
        <x:v>26794.47</x:v>
      </x:c>
      <x:c r="F14" s="234"/>
      <x:c r="G14" s="234"/>
      <x:c r="H14" s="234"/>
      <x:c r="I14" s="234"/>
    </x:row>
    <x:row r="15" ht="19" customHeight="1">
      <x:c r="B15" s="22" t="str">
        <x:v>Excise duty (allocated to Cigarettes, proxy)</x:v>
      </x:c>
      <x:c r="C15" s="232" t="n">
        <x:v>4912.55</x:v>
      </x:c>
      <x:c r="D15" s="232" t="n">
        <x:v>9656.33</x:v>
      </x:c>
      <x:c r="E15" s="232" t="n">
        <x:v>10035.63</x:v>
      </x:c>
      <x:c r="F15" s="228"/>
      <x:c r="G15" s="228"/>
      <x:c r="H15" s="228"/>
      <x:c r="I15" s="228"/>
    </x:row>
    <x:row r="16" ht="22" customHeight="1">
      <x:c r="B16" s="96" t="str">
        <x:v>Cigarette segment revenue excl excise (proxy)</x:v>
      </x:c>
      <x:c r="C16" s="250" t="n">
        <x:f>C7-C15</x:f>
        <x:v>27718.72</x:v>
      </x:c>
      <x:c r="D16" s="250" t="n">
        <x:f>D7-D15</x:f>
        <x:v>27443.32</x:v>
      </x:c>
      <x:c r="E16" s="250" t="n">
        <x:f>E7-E15</x:f>
        <x:v>5347.92</x:v>
      </x:c>
      <x:c r="F16" s="231"/>
      <x:c r="G16" s="231"/>
      <x:c r="H16" s="231"/>
      <x:c r="I16" s="231"/>
    </x:row>
    <x:row r="17" ht="19" customHeight="1">
      <x:c r="B17" s="22" t="str">
        <x:v>Cigarettes reported PBIT / ex-excise proxy</x:v>
      </x:c>
      <x:c r="C17" s="284" t="n">
        <x:f>IFERROR(C19/C16,0)</x:f>
        <x:v>0.7224312666674363</x:v>
      </x:c>
      <x:c r="D17" s="284" t="n">
        <x:f>IFERROR(D19/D16,0)</x:f>
        <x:v>0.7670762866883453</x:v>
      </x:c>
      <x:c r="E17" s="284" t="n">
        <x:f>IFERROR(E19/E16,0)</x:f>
        <x:v>0.6247718739248156</x:v>
      </x:c>
      <x:c r="F17" s="285"/>
      <x:c r="G17" s="285"/>
      <x:c r="H17" s="285"/>
      <x:c r="I17" s="285"/>
    </x:row>
    <x:row r="18" ht="19" customHeight="1">
      <x:c r="B18" s="22"/>
      <x:c r="C18" s="228"/>
      <x:c r="D18" s="228"/>
      <x:c r="E18" s="228"/>
      <x:c r="F18" s="228"/>
      <x:c r="G18" s="228"/>
      <x:c r="H18" s="228"/>
      <x:c r="I18" s="228"/>
    </x:row>
    <x:row r="19" ht="19" customHeight="1">
      <x:c r="B19" s="22" t="str">
        <x:v>Cigarettes PBIT</x:v>
      </x:c>
      <x:c r="C19" s="232" t="n">
        <x:v>20024.87</x:v>
      </x:c>
      <x:c r="D19" s="232" t="n">
        <x:v>21051.12</x:v>
      </x:c>
      <x:c r="E19" s="232" t="n">
        <x:v>3341.23</x:v>
      </x:c>
      <x:c r="F19" s="228"/>
      <x:c r="G19" s="228"/>
      <x:c r="H19" s="228"/>
      <x:c r="I19" s="228"/>
    </x:row>
    <x:row r="20" ht="19" customHeight="1">
      <x:c r="B20" s="22" t="str">
        <x:v>FMCG — Others PBIT</x:v>
      </x:c>
      <x:c r="C20" s="232" t="n">
        <x:v>1579.66</x:v>
      </x:c>
      <x:c r="D20" s="232" t="n">
        <x:v>1802.63</x:v>
      </x:c>
      <x:c r="E20" s="232" t="n">
        <x:v>478.61</x:v>
      </x:c>
      <x:c r="F20" s="228"/>
      <x:c r="G20" s="228"/>
      <x:c r="H20" s="228"/>
      <x:c r="I20" s="228"/>
    </x:row>
    <x:row r="21" ht="19" customHeight="1">
      <x:c r="B21" s="22" t="str">
        <x:v>Agri Business PBIT</x:v>
      </x:c>
      <x:c r="C21" s="232" t="n">
        <x:v>1478.03</x:v>
      </x:c>
      <x:c r="D21" s="232" t="n">
        <x:v>1496.46</x:v>
      </x:c>
      <x:c r="E21" s="232" t="n">
        <x:v>353.79</x:v>
      </x:c>
      <x:c r="F21" s="228"/>
      <x:c r="G21" s="228"/>
      <x:c r="H21" s="228"/>
      <x:c r="I21" s="228"/>
    </x:row>
    <x:row r="22" ht="19" customHeight="1">
      <x:c r="B22" s="22" t="str">
        <x:v>Paperboards PBIT</x:v>
      </x:c>
      <x:c r="C22" s="232" t="n">
        <x:v>911.49</x:v>
      </x:c>
      <x:c r="D22" s="232" t="n">
        <x:v>796.71</x:v>
      </x:c>
      <x:c r="E22" s="232" t="n">
        <x:v>224.22</x:v>
      </x:c>
      <x:c r="F22" s="228"/>
      <x:c r="G22" s="228"/>
      <x:c r="H22" s="228"/>
      <x:c r="I22" s="228"/>
    </x:row>
    <x:row r="23" ht="19" customHeight="1">
      <x:c r="B23" s="22" t="str">
        <x:v>Others PBIT</x:v>
      </x:c>
      <x:c r="C23" s="232" t="n">
        <x:v>64.02</x:v>
      </x:c>
      <x:c r="D23" s="232" t="n">
        <x:v>-8.06</x:v>
      </x:c>
      <x:c r="E23" s="232" t="n">
        <x:v>-5.8</x:v>
      </x:c>
      <x:c r="F23" s="228"/>
      <x:c r="G23" s="228"/>
      <x:c r="H23" s="228"/>
      <x:c r="I23" s="228"/>
    </x:row>
    <x:row r="24" ht="22" customHeight="1">
      <x:c r="B24" s="108" t="str">
        <x:v>Total segment PBIT</x:v>
      </x:c>
      <x:c r="C24" s="233" t="n">
        <x:f>SUM(C19:C23)</x:f>
        <x:v>24058.07</x:v>
      </x:c>
      <x:c r="D24" s="233" t="n">
        <x:f>SUM(D19:D23)</x:f>
        <x:v>25138.859999999997</x:v>
      </x:c>
      <x:c r="E24" s="233" t="n">
        <x:f>SUM(E19:E23)</x:f>
        <x:v>4392.05</x:v>
      </x:c>
      <x:c r="F24" s="234"/>
      <x:c r="G24" s="234"/>
      <x:c r="H24" s="234"/>
      <x:c r="I24" s="234"/>
    </x:row>
    <x:row r="25" ht="19" customHeight="1">
      <x:c r="B25" s="22" t="str">
        <x:v>Cigarettes share of segment profit</x:v>
      </x:c>
      <x:c r="C25" s="284" t="n">
        <x:f>IFERROR(C19/C24,0)</x:f>
        <x:v>0.8323556295247291</x:v>
      </x:c>
      <x:c r="D25" s="284" t="n">
        <x:f>IFERROR(D19/D24,0)</x:f>
        <x:v>0.8373935810931761</x:v>
      </x:c>
      <x:c r="E25" s="284" t="n">
        <x:f>IFERROR(E19/E24,0)</x:f>
        <x:v>0.7607449824114024</x:v>
      </x:c>
      <x:c r="F25" s="285"/>
      <x:c r="G25" s="285"/>
      <x:c r="H25" s="285"/>
      <x:c r="I25" s="285"/>
    </x:row>
    <x:row r="26" ht="19" customHeight="1">
      <x:c r="B26" s="22"/>
      <x:c r="C26" s="228"/>
      <x:c r="D26" s="228"/>
      <x:c r="E26" s="228"/>
      <x:c r="F26" s="228"/>
      <x:c r="G26" s="228"/>
      <x:c r="H26" s="228"/>
      <x:c r="I26" s="228"/>
    </x:row>
    <x:row r="27" ht="19" customHeight="1">
      <x:c r="B27" s="22"/>
      <x:c r="C27" s="228"/>
      <x:c r="D27" s="228"/>
      <x:c r="E27" s="228"/>
      <x:c r="F27" s="228"/>
      <x:c r="G27" s="228"/>
      <x:c r="H27" s="228"/>
      <x:c r="I27" s="228"/>
    </x:row>
    <x:row r="28" ht="21" customHeight="1">
      <x:c r="B28" s="32" t="str">
        <x:v>COMPARABILITY / EXCISE NOTE</x:v>
      </x:c>
      <x:c r="C28" s="229"/>
      <x:c r="D28" s="229"/>
      <x:c r="E28" s="229"/>
      <x:c r="F28" s="229"/>
      <x:c r="G28" s="229"/>
      <x:c r="H28" s="229"/>
      <x:c r="I28" s="229"/>
    </x:row>
    <x:row r="29" ht="19" customHeight="1">
      <x:c r="B29" s="22"/>
      <x:c r="C29" s="228"/>
      <x:c r="D29" s="228"/>
      <x:c r="E29" s="228"/>
      <x:c r="F29" s="228"/>
      <x:c r="G29" s="228"/>
      <x:c r="H29" s="228"/>
      <x:c r="I29" s="228"/>
    </x:row>
    <x:row r="30" ht="27" customHeight="1">
      <x:c r="B30" s="120" t="str">
        <x:v>FY25 category and consolidated changes mean small FY25 segment differences may appear between the originally filed FY25 results and the FY26 restated comparator. All figures sourced from dated disclosures.</x:v>
      </x:c>
      <x:c r="C30" s="237"/>
      <x:c r="D30" s="237"/>
      <x:c r="E30" s="237"/>
      <x:c r="F30" s="237"/>
      <x:c r="G30" s="237"/>
      <x:c r="H30" s="237"/>
      <x:c r="I30" s="237"/>
    </x:row>
    <x:row r="31" ht="27" customHeight="1">
      <x:c r="B31" s="120" t="str">
        <x:v>“Cigarette revenue excl excise” assigns company excise duty entirely to Cigarettes as an ANALYST PROXY; it does not claim exact segment-level taxable receipts or unit-level volume disclosures.</x:v>
      </x:c>
      <x:c r="C31" s="237"/>
      <x:c r="D31" s="237"/>
      <x:c r="E31" s="237"/>
      <x:c r="F31" s="237"/>
      <x:c r="G31" s="237"/>
      <x:c r="H31" s="237"/>
      <x:c r="I31" s="237"/>
    </x:row>
    <x:row r="32" ht="19" customHeight="1">
      <x:c r="B32" s="22"/>
      <x:c r="C32" s="228"/>
      <x:c r="D32" s="228"/>
      <x:c r="E32" s="228"/>
      <x:c r="F32" s="228"/>
      <x:c r="G32" s="228"/>
      <x:c r="H32" s="228"/>
      <x:c r="I32" s="228"/>
    </x:row>
    <x:row r="33" ht="19" customHeight="1">
      <x:c r="B33" s="22"/>
      <x:c r="C33" s="228"/>
      <x:c r="D33" s="228"/>
      <x:c r="E33" s="228"/>
      <x:c r="F33" s="228"/>
      <x:c r="G33" s="228"/>
      <x:c r="H33" s="228"/>
      <x:c r="I33" s="228"/>
    </x:row>
    <x:row r="34" ht="19" customHeight="1">
      <x:c r="B34" s="22"/>
      <x:c r="C34" s="228"/>
      <x:c r="D34" s="228"/>
      <x:c r="E34" s="228"/>
      <x:c r="F34" s="228"/>
      <x:c r="G34" s="228"/>
      <x:c r="H34" s="228"/>
      <x:c r="I34" s="228"/>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19" customHeight="1">
      <x:c r="B38" s="22"/>
      <x:c r="C38" s="228"/>
      <x:c r="D38" s="228"/>
      <x:c r="E38" s="228"/>
      <x:c r="F38" s="228"/>
      <x:c r="G38" s="228"/>
      <x:c r="H38" s="228"/>
      <x:c r="I38" s="228"/>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43" customHeight="1">
      <x:c r="B48" s="207" t="str">
        <x:v>Historical numbers: FY25  https://nsearchives.nseindia.com/corporate/ixbrl/INTEGRATED_FILING_INDAS_92862_22052025181843_iXBRL_WEB.html  |  FY26  https://nsearchives.nseindia.com/corporate/ixbrl/INTEGRATED_FILING_INDAS_159755_21052026183213_iXBRL_WEB.html  |  Q1FY27  https://nsearchives.nseindia.com/corporate/ixbrl/INTEGRATED_FILING_INDAS_181204_31072026172335_iXBRL_WEB.html</x:v>
      </x:c>
      <x:c r="C48" s="238"/>
      <x:c r="D48" s="238"/>
      <x:c r="E48" s="238"/>
      <x:c r="F48" s="238"/>
      <x:c r="G48" s="238"/>
      <x:c r="H48" s="238"/>
      <x:c r="I48" s="23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28:I28"/>
    <x:mergeCell ref="B30:I30"/>
    <x:mergeCell ref="B31:I31"/>
    <x:mergeCell ref="B48:I48"/>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AUDITED BALANCE SHEET INPUTS</x:v>
      </x:c>
      <x:c r="C2" s="4"/>
      <x:c r="D2" s="4"/>
      <x:c r="E2" s="4"/>
      <x:c r="F2" s="4"/>
      <x:c r="G2" s="4"/>
      <x:c r="H2" s="4"/>
      <x:c r="I2" s="4"/>
    </x:row>
    <x:row r="3" ht="23" customHeight="1">
      <x:c r="B3" s="9" t="str">
        <x:v>Standalone, FY25 as filed and FY26 as filed; totals reconciled to primary NSE filings.</x:v>
      </x:c>
      <x:c r="C3" s="9"/>
      <x:c r="D3" s="9"/>
      <x:c r="E3" s="9"/>
      <x:c r="F3" s="9"/>
      <x:c r="G3" s="9"/>
      <x:c r="H3" s="9"/>
      <x:c r="I3" s="9"/>
    </x:row>
    <x:row r="4" ht="24" customHeight="1">
      <x:c r="B4" s="18" t="str">
        <x:v>ITC LIMITED  •  ₹ crore unless noted</x:v>
      </x:c>
      <x:c r="C4" s="14" t="str">
        <x:v>FY25A</x:v>
      </x:c>
      <x:c r="D4" s="14" t="str">
        <x:v>FY26A</x:v>
      </x:c>
      <x:c r="E4" s="14" t="str"/>
      <x:c r="F4" s="14" t="str"/>
      <x:c r="G4" s="14" t="str"/>
      <x:c r="H4" s="14" t="str"/>
      <x:c r="I4" s="14" t="str"/>
    </x:row>
    <x:row r="5" ht="19" customHeight="1">
      <x:c r="B5" s="22"/>
      <x:c r="C5" s="228"/>
      <x:c r="D5" s="228"/>
      <x:c r="E5" s="228"/>
      <x:c r="F5" s="228"/>
      <x:c r="G5" s="228"/>
      <x:c r="H5" s="228"/>
      <x:c r="I5" s="228"/>
    </x:row>
    <x:row r="6" ht="21" customHeight="1">
      <x:c r="B6" s="32" t="str">
        <x:v>ASSETS</x:v>
      </x:c>
      <x:c r="C6" s="229"/>
      <x:c r="D6" s="229"/>
      <x:c r="E6" s="229"/>
      <x:c r="F6" s="229"/>
      <x:c r="G6" s="229"/>
      <x:c r="H6" s="229"/>
      <x:c r="I6" s="229"/>
    </x:row>
    <x:row r="7" ht="19" customHeight="1">
      <x:c r="B7" s="22" t="str">
        <x:v>Cash and cash equivalents</x:v>
      </x:c>
      <x:c r="C7" s="232" t="n">
        <x:v>222.06</x:v>
      </x:c>
      <x:c r="D7" s="232" t="n">
        <x:v>110.02</x:v>
      </x:c>
      <x:c r="E7" s="228"/>
      <x:c r="F7" s="228"/>
      <x:c r="G7" s="228"/>
      <x:c r="H7" s="228"/>
      <x:c r="I7" s="228"/>
    </x:row>
    <x:row r="8" ht="19" customHeight="1">
      <x:c r="B8" s="22" t="str">
        <x:v>Current investments</x:v>
      </x:c>
      <x:c r="C8" s="232" t="n">
        <x:v>15285.91</x:v>
      </x:c>
      <x:c r="D8" s="232" t="n">
        <x:v>19701.54</x:v>
      </x:c>
      <x:c r="E8" s="228"/>
      <x:c r="F8" s="228"/>
      <x:c r="G8" s="228"/>
      <x:c r="H8" s="228"/>
      <x:c r="I8" s="228"/>
    </x:row>
    <x:row r="9" ht="19" customHeight="1">
      <x:c r="B9" s="22" t="str">
        <x:v>Bank balances other than cash</x:v>
      </x:c>
      <x:c r="C9" s="232" t="n">
        <x:v>2962.32</x:v>
      </x:c>
      <x:c r="D9" s="232" t="n">
        <x:v>2025.5</x:v>
      </x:c>
      <x:c r="E9" s="228"/>
      <x:c r="F9" s="228"/>
      <x:c r="G9" s="228"/>
      <x:c r="H9" s="228"/>
      <x:c r="I9" s="228"/>
    </x:row>
    <x:row r="10" ht="19" customHeight="1">
      <x:c r="B10" s="22" t="str">
        <x:v>Trade receivables</x:v>
      </x:c>
      <x:c r="C10" s="232" t="n">
        <x:v>3910.77</x:v>
      </x:c>
      <x:c r="D10" s="232" t="n">
        <x:v>2925.6</x:v>
      </x:c>
      <x:c r="E10" s="228"/>
      <x:c r="F10" s="228"/>
      <x:c r="G10" s="228"/>
      <x:c r="H10" s="228"/>
      <x:c r="I10" s="228"/>
    </x:row>
    <x:row r="11" ht="19" customHeight="1">
      <x:c r="B11" s="22" t="str">
        <x:v>Inventory</x:v>
      </x:c>
      <x:c r="C11" s="232" t="n">
        <x:v>15061.01</x:v>
      </x:c>
      <x:c r="D11" s="232" t="n">
        <x:v>17931.9</x:v>
      </x:c>
      <x:c r="E11" s="228"/>
      <x:c r="F11" s="228"/>
      <x:c r="G11" s="228"/>
      <x:c r="H11" s="228"/>
      <x:c r="I11" s="228"/>
    </x:row>
    <x:row r="12" ht="19" customHeight="1">
      <x:c r="B12" s="22" t="str">
        <x:v>Other current assets (residual)</x:v>
      </x:c>
      <x:c r="C12" s="235" t="n">
        <x:f>C13-SUM(C7:C11)</x:f>
        <x:v>2313.8700000000026</x:v>
      </x:c>
      <x:c r="D12" s="235" t="n">
        <x:f>D13-SUM(D7:D11)</x:f>
        <x:v>3448.8300000000017</x:v>
      </x:c>
      <x:c r="E12" s="228"/>
      <x:c r="F12" s="228"/>
      <x:c r="G12" s="228"/>
      <x:c r="H12" s="228"/>
      <x:c r="I12" s="228"/>
    </x:row>
    <x:row r="13" ht="22" customHeight="1">
      <x:c r="B13" s="96" t="str">
        <x:v>Total current assets</x:v>
      </x:c>
      <x:c r="C13" s="230" t="n">
        <x:v>39755.94</x:v>
      </x:c>
      <x:c r="D13" s="230" t="n">
        <x:v>46143.39</x:v>
      </x:c>
      <x:c r="E13" s="231"/>
      <x:c r="F13" s="231"/>
      <x:c r="G13" s="231"/>
      <x:c r="H13" s="231"/>
      <x:c r="I13" s="231"/>
    </x:row>
    <x:row r="14" ht="19" customHeight="1">
      <x:c r="B14" s="22"/>
      <x:c r="C14" s="228"/>
      <x:c r="D14" s="228"/>
      <x:c r="E14" s="228"/>
      <x:c r="F14" s="228"/>
      <x:c r="G14" s="228"/>
      <x:c r="H14" s="228"/>
      <x:c r="I14" s="228"/>
    </x:row>
    <x:row r="15" ht="19" customHeight="1">
      <x:c r="B15" s="22" t="str">
        <x:v>Operating fixed assets incl ROU and intangibles</x:v>
      </x:c>
      <x:c r="C15" s="232" t="n">
        <x:v>21059.180000000004</x:v>
      </x:c>
      <x:c r="D15" s="232" t="n">
        <x:v>22025.97</x:v>
      </x:c>
      <x:c r="E15" s="228"/>
      <x:c r="F15" s="228"/>
      <x:c r="G15" s="228"/>
      <x:c r="H15" s="228"/>
      <x:c r="I15" s="228"/>
    </x:row>
    <x:row r="16" ht="19" customHeight="1">
      <x:c r="B16" s="22" t="str">
        <x:v>Non-current investments</x:v>
      </x:c>
      <x:c r="C16" s="232" t="n">
        <x:v>20701.17</x:v>
      </x:c>
      <x:c r="D16" s="232" t="n">
        <x:v>19409.05</x:v>
      </x:c>
      <x:c r="E16" s="228"/>
      <x:c r="F16" s="228"/>
      <x:c r="G16" s="228"/>
      <x:c r="H16" s="228"/>
      <x:c r="I16" s="228"/>
    </x:row>
    <x:row r="17" ht="19" customHeight="1">
      <x:c r="B17" s="22" t="str">
        <x:v>Other non-current assets (residual)</x:v>
      </x:c>
      <x:c r="C17" s="235" t="n">
        <x:f>C18-SUM(C15:C16)</x:f>
        <x:v>2492.909999999996</x:v>
      </x:c>
      <x:c r="D17" s="235" t="n">
        <x:f>D18-SUM(D15:D16)</x:f>
        <x:v>1337.449999999997</x:v>
      </x:c>
      <x:c r="E17" s="228"/>
      <x:c r="F17" s="228"/>
      <x:c r="G17" s="228"/>
      <x:c r="H17" s="228"/>
      <x:c r="I17" s="228"/>
    </x:row>
    <x:row r="18" ht="22" customHeight="1">
      <x:c r="B18" s="96" t="str">
        <x:v>Total non-current assets</x:v>
      </x:c>
      <x:c r="C18" s="230" t="n">
        <x:v>44253.26</x:v>
      </x:c>
      <x:c r="D18" s="230" t="n">
        <x:v>42772.47</x:v>
      </x:c>
      <x:c r="E18" s="231"/>
      <x:c r="F18" s="231"/>
      <x:c r="G18" s="231"/>
      <x:c r="H18" s="231"/>
      <x:c r="I18" s="231"/>
    </x:row>
    <x:row r="19" ht="22" customHeight="1">
      <x:c r="B19" s="108" t="str">
        <x:v>TOTAL ASSETS</x:v>
      </x:c>
      <x:c r="C19" s="236" t="n">
        <x:v>84009.2</x:v>
      </x:c>
      <x:c r="D19" s="236" t="n">
        <x:v>88915.86</x:v>
      </x:c>
      <x:c r="E19" s="234"/>
      <x:c r="F19" s="234"/>
      <x:c r="G19" s="234"/>
      <x:c r="H19" s="234"/>
      <x:c r="I19" s="234"/>
    </x:row>
    <x:row r="20" ht="19" customHeight="1">
      <x:c r="B20" s="22"/>
      <x:c r="C20" s="228"/>
      <x:c r="D20" s="228"/>
      <x:c r="E20" s="228"/>
      <x:c r="F20" s="228"/>
      <x:c r="G20" s="228"/>
      <x:c r="H20" s="228"/>
      <x:c r="I20" s="228"/>
    </x:row>
    <x:row r="21" ht="19" customHeight="1">
      <x:c r="B21" s="22"/>
      <x:c r="C21" s="228"/>
      <x:c r="D21" s="228"/>
      <x:c r="E21" s="228"/>
      <x:c r="F21" s="228"/>
      <x:c r="G21" s="228"/>
      <x:c r="H21" s="228"/>
      <x:c r="I21" s="228"/>
    </x:row>
    <x:row r="22" ht="19" customHeight="1">
      <x:c r="B22" s="22" t="str">
        <x:v>Short-term borrowings</x:v>
      </x:c>
      <x:c r="C22" s="232" t="n">
        <x:v>1.76</x:v>
      </x:c>
      <x:c r="D22" s="232" t="n">
        <x:v>2026.22</x:v>
      </x:c>
      <x:c r="E22" s="228"/>
      <x:c r="F22" s="228"/>
      <x:c r="G22" s="228"/>
      <x:c r="H22" s="228"/>
      <x:c r="I22" s="228"/>
    </x:row>
    <x:row r="23" ht="19" customHeight="1">
      <x:c r="B23" s="22" t="str">
        <x:v>Current lease liabilities</x:v>
      </x:c>
      <x:c r="C23" s="232" t="n">
        <x:v>37.54</x:v>
      </x:c>
      <x:c r="D23" s="232" t="n">
        <x:v>39.08</x:v>
      </x:c>
      <x:c r="E23" s="228"/>
      <x:c r="F23" s="228"/>
      <x:c r="G23" s="228"/>
      <x:c r="H23" s="228"/>
      <x:c r="I23" s="228"/>
    </x:row>
    <x:row r="24" ht="19" customHeight="1">
      <x:c r="B24" s="22" t="str">
        <x:v>Trade payables</x:v>
      </x:c>
      <x:c r="C24" s="232" t="n">
        <x:v>4489.82</x:v>
      </x:c>
      <x:c r="D24" s="232" t="n">
        <x:v>5271.9</x:v>
      </x:c>
      <x:c r="E24" s="228"/>
      <x:c r="F24" s="228"/>
      <x:c r="G24" s="228"/>
      <x:c r="H24" s="228"/>
      <x:c r="I24" s="228"/>
    </x:row>
    <x:row r="25" ht="19" customHeight="1">
      <x:c r="B25" s="22" t="str">
        <x:v>Other current liabilities (residual)</x:v>
      </x:c>
      <x:c r="C25" s="235" t="n">
        <x:f>C26-SUM(C22:C24)</x:f>
        <x:v>8593.02</x:v>
      </x:c>
      <x:c r="D25" s="235" t="n">
        <x:f>D26-SUM(D22:D24)</x:f>
        <x:v>7854.72</x:v>
      </x:c>
      <x:c r="E25" s="228"/>
      <x:c r="F25" s="228"/>
      <x:c r="G25" s="228"/>
      <x:c r="H25" s="228"/>
      <x:c r="I25" s="228"/>
    </x:row>
    <x:row r="26" ht="22" customHeight="1">
      <x:c r="B26" s="96" t="str">
        <x:v>Total current liabilities</x:v>
      </x:c>
      <x:c r="C26" s="230" t="n">
        <x:v>13122.14</x:v>
      </x:c>
      <x:c r="D26" s="230" t="n">
        <x:v>15191.92</x:v>
      </x:c>
      <x:c r="E26" s="231"/>
      <x:c r="F26" s="231"/>
      <x:c r="G26" s="231"/>
      <x:c r="H26" s="231"/>
      <x:c r="I26" s="231"/>
    </x:row>
    <x:row r="27" ht="19" customHeight="1">
      <x:c r="B27" s="22"/>
      <x:c r="C27" s="228"/>
      <x:c r="D27" s="228"/>
      <x:c r="E27" s="228"/>
      <x:c r="F27" s="228"/>
      <x:c r="G27" s="228"/>
      <x:c r="H27" s="228"/>
      <x:c r="I27" s="228"/>
    </x:row>
    <x:row r="28" ht="19" customHeight="1">
      <x:c r="B28" s="22" t="str">
        <x:v>Long-term lease liabilities</x:v>
      </x:c>
      <x:c r="C28" s="232" t="n">
        <x:v>117.45</x:v>
      </x:c>
      <x:c r="D28" s="232" t="n">
        <x:v>97.09</x:v>
      </x:c>
      <x:c r="E28" s="228"/>
      <x:c r="F28" s="228"/>
      <x:c r="G28" s="228"/>
      <x:c r="H28" s="228"/>
      <x:c r="I28" s="228"/>
    </x:row>
    <x:row r="29" ht="19" customHeight="1">
      <x:c r="B29" s="22" t="str">
        <x:v>Other non-current liabilities (residual)</x:v>
      </x:c>
      <x:c r="C29" s="235" t="n">
        <x:f>C30-C28</x:f>
        <x:v>2869.4700000000003</x:v>
      </x:c>
      <x:c r="D29" s="235" t="n">
        <x:f>D30-D28</x:f>
        <x:v>3698.24</x:v>
      </x:c>
      <x:c r="E29" s="228"/>
      <x:c r="F29" s="228"/>
      <x:c r="G29" s="228"/>
      <x:c r="H29" s="228"/>
      <x:c r="I29" s="228"/>
    </x:row>
    <x:row r="30" ht="22" customHeight="1">
      <x:c r="B30" s="96" t="str">
        <x:v>Total non-current liabilities</x:v>
      </x:c>
      <x:c r="C30" s="230" t="n">
        <x:v>2986.92</x:v>
      </x:c>
      <x:c r="D30" s="230" t="n">
        <x:v>3795.33</x:v>
      </x:c>
      <x:c r="E30" s="231"/>
      <x:c r="F30" s="231"/>
      <x:c r="G30" s="231"/>
      <x:c r="H30" s="231"/>
      <x:c r="I30" s="231"/>
    </x:row>
    <x:row r="31" ht="22" customHeight="1">
      <x:c r="B31" s="96" t="str">
        <x:v>Total liabilities</x:v>
      </x:c>
      <x:c r="C31" s="230" t="n">
        <x:v>16109.06</x:v>
      </x:c>
      <x:c r="D31" s="230" t="n">
        <x:v>18987.25</x:v>
      </x:c>
      <x:c r="E31" s="231"/>
      <x:c r="F31" s="231"/>
      <x:c r="G31" s="231"/>
      <x:c r="H31" s="231"/>
      <x:c r="I31" s="231"/>
    </x:row>
    <x:row r="32" ht="19" customHeight="1">
      <x:c r="B32" s="22"/>
      <x:c r="C32" s="228"/>
      <x:c r="D32" s="228"/>
      <x:c r="E32" s="228"/>
      <x:c r="F32" s="228"/>
      <x:c r="G32" s="228"/>
      <x:c r="H32" s="228"/>
      <x:c r="I32" s="228"/>
    </x:row>
    <x:row r="33" ht="22" customHeight="1">
      <x:c r="B33" s="96" t="str">
        <x:v>Total equity</x:v>
      </x:c>
      <x:c r="C33" s="230" t="n">
        <x:v>67900.14</x:v>
      </x:c>
      <x:c r="D33" s="230" t="n">
        <x:v>69928.61</x:v>
      </x:c>
      <x:c r="E33" s="231"/>
      <x:c r="F33" s="231"/>
      <x:c r="G33" s="231"/>
      <x:c r="H33" s="231"/>
      <x:c r="I33" s="231"/>
    </x:row>
    <x:row r="34" ht="22" customHeight="1">
      <x:c r="B34" s="108" t="str">
        <x:v>TOTAL LIABILITIES &amp; EQUITY</x:v>
      </x:c>
      <x:c r="C34" s="236" t="n">
        <x:v>84009.2</x:v>
      </x:c>
      <x:c r="D34" s="236" t="n">
        <x:v>88915.86</x:v>
      </x:c>
      <x:c r="E34" s="234"/>
      <x:c r="F34" s="234"/>
      <x:c r="G34" s="234"/>
      <x:c r="H34" s="234"/>
      <x:c r="I34" s="234"/>
    </x:row>
    <x:row r="35" ht="22" customHeight="1">
      <x:c r="B35" s="108" t="str">
        <x:v>Balance sheet tie-out  (0 = pass)</x:v>
      </x:c>
      <x:c r="C35" s="306" t="n">
        <x:f>C19-C34</x:f>
        <x:v>0</x:v>
      </x:c>
      <x:c r="D35" s="306" t="n">
        <x:f>D19-D34</x:f>
        <x:v>0</x:v>
      </x:c>
      <x:c r="E35" s="307"/>
      <x:c r="F35" s="307"/>
      <x:c r="G35" s="307"/>
      <x:c r="H35" s="307"/>
      <x:c r="I35" s="307"/>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27" customHeight="1">
      <x:c r="B38" s="120" t="str">
        <x:v>Forecast uses FY26 as the opening balance sheet. Prior-year FY25 data are shown on original FY25 NSE filing basis; slight changes from later business-combination restatements are expected.</x:v>
      </x:c>
      <x:c r="C38" s="237"/>
      <x:c r="D38" s="237"/>
      <x:c r="E38" s="237"/>
      <x:c r="F38" s="237"/>
      <x:c r="G38" s="237"/>
      <x:c r="H38" s="237"/>
      <x:c r="I38" s="237"/>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43" customHeight="1">
      <x:c r="B48" s="207" t="str">
        <x:v>Historical numbers: FY25  https://nsearchives.nseindia.com/corporate/ixbrl/INTEGRATED_FILING_INDAS_92862_22052025181843_iXBRL_WEB.html  |  FY26  https://nsearchives.nseindia.com/corporate/ixbrl/INTEGRATED_FILING_INDAS_159755_21052026183213_iXBRL_WEB.html  |  Q1FY27  https://nsearchives.nseindia.com/corporate/ixbrl/INTEGRATED_FILING_INDAS_181204_31072026172335_iXBRL_WEB.html</x:v>
      </x:c>
      <x:c r="C48" s="238"/>
      <x:c r="D48" s="238"/>
      <x:c r="E48" s="238"/>
      <x:c r="F48" s="238"/>
      <x:c r="G48" s="238"/>
      <x:c r="H48" s="238"/>
      <x:c r="I48" s="23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38:I38"/>
    <x:mergeCell ref="B48:I48"/>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AUDITED CASH FLOW INPUTS</x:v>
      </x:c>
      <x:c r="C2" s="4"/>
      <x:c r="D2" s="4"/>
      <x:c r="E2" s="4"/>
      <x:c r="F2" s="4"/>
      <x:c r="G2" s="4"/>
      <x:c r="H2" s="4"/>
      <x:c r="I2" s="4"/>
    </x:row>
    <x:row r="3" ht="23" customHeight="1">
      <x:c r="B3" s="9" t="str">
        <x:v>Statutory actuals shown separately from the projected integrated CFO/CFI/CFF.</x:v>
      </x:c>
      <x:c r="C3" s="9"/>
      <x:c r="D3" s="9"/>
      <x:c r="E3" s="9"/>
      <x:c r="F3" s="9"/>
      <x:c r="G3" s="9"/>
      <x:c r="H3" s="9"/>
      <x:c r="I3" s="9"/>
    </x:row>
    <x:row r="4" ht="24" customHeight="1">
      <x:c r="B4" s="18" t="str">
        <x:v>ITC LIMITED  •  ₹ crore unless noted</x:v>
      </x:c>
      <x:c r="C4" s="14" t="str">
        <x:v>FY25A</x:v>
      </x:c>
      <x:c r="D4" s="14" t="str">
        <x:v>FY26A</x:v>
      </x:c>
      <x:c r="E4" s="14" t="str"/>
      <x:c r="F4" s="14" t="str"/>
      <x:c r="G4" s="14" t="str"/>
      <x:c r="H4" s="14" t="str"/>
      <x:c r="I4" s="14" t="str"/>
    </x:row>
    <x:row r="5" ht="19" customHeight="1">
      <x:c r="B5" s="22"/>
      <x:c r="C5" s="228"/>
      <x:c r="D5" s="228"/>
      <x:c r="E5" s="228"/>
      <x:c r="F5" s="228"/>
      <x:c r="G5" s="228"/>
      <x:c r="H5" s="228"/>
      <x:c r="I5" s="228"/>
    </x:row>
    <x:row r="6" ht="21" customHeight="1">
      <x:c r="B6" s="32" t="str">
        <x:v>AS-FILED HISTORICAL CASH FLOW</x:v>
      </x:c>
      <x:c r="C6" s="229"/>
      <x:c r="D6" s="229"/>
      <x:c r="E6" s="229"/>
      <x:c r="F6" s="229"/>
      <x:c r="G6" s="229"/>
      <x:c r="H6" s="229"/>
      <x:c r="I6" s="229"/>
    </x:row>
    <x:row r="7" ht="19" customHeight="1">
      <x:c r="B7" s="22" t="str">
        <x:v>Cash generated from operations (after tax)</x:v>
      </x:c>
      <x:c r="C7" s="232" t="n">
        <x:v>16751.01</x:v>
      </x:c>
      <x:c r="D7" s="232" t="n">
        <x:v>17094.97</x:v>
      </x:c>
      <x:c r="E7" s="228"/>
      <x:c r="F7" s="228"/>
      <x:c r="G7" s="228"/>
      <x:c r="H7" s="228"/>
      <x:c r="I7" s="228"/>
    </x:row>
    <x:row r="8" ht="19" customHeight="1">
      <x:c r="B8" s="22" t="str">
        <x:v>Net cash flow from investing activities</x:v>
      </x:c>
      <x:c r="C8" s="232" t="n">
        <x:v>141.48</x:v>
      </x:c>
      <x:c r="D8" s="232" t="n">
        <x:v>-1538.38</x:v>
      </x:c>
      <x:c r="E8" s="228"/>
      <x:c r="F8" s="228"/>
      <x:c r="G8" s="228"/>
      <x:c r="H8" s="228"/>
      <x:c r="I8" s="228"/>
    </x:row>
    <x:row r="9" ht="19" customHeight="1">
      <x:c r="B9" s="22" t="str">
        <x:v>Net cash from financing activities</x:v>
      </x:c>
      <x:c r="C9" s="232" t="n">
        <x:v>-16765.62</x:v>
      </x:c>
      <x:c r="D9" s="232" t="n">
        <x:v>-15694.23</x:v>
      </x:c>
      <x:c r="E9" s="228"/>
      <x:c r="F9" s="228"/>
      <x:c r="G9" s="228"/>
      <x:c r="H9" s="228"/>
      <x:c r="I9" s="228"/>
    </x:row>
    <x:row r="10" ht="22" customHeight="1">
      <x:c r="B10" s="96" t="str">
        <x:v>Net statutory cash movement</x:v>
      </x:c>
      <x:c r="C10" s="250" t="n">
        <x:f>SUM(C7:C9)</x:f>
        <x:v>126.86999999999898</x:v>
      </x:c>
      <x:c r="D10" s="250" t="n">
        <x:f>SUM(D7:D9)</x:f>
        <x:v>-137.63999999999942</x:v>
      </x:c>
      <x:c r="E10" s="231"/>
      <x:c r="F10" s="231"/>
      <x:c r="G10" s="231"/>
      <x:c r="H10" s="231"/>
      <x:c r="I10" s="231"/>
    </x:row>
    <x:row r="11" ht="19" customHeight="1">
      <x:c r="B11" s="22" t="str">
        <x:v>Cash investment in PPE (outflow)</x:v>
      </x:c>
      <x:c r="C11" s="232" t="n">
        <x:v>-1788.64</x:v>
      </x:c>
      <x:c r="D11" s="232" t="n">
        <x:v>-2069.3</x:v>
      </x:c>
      <x:c r="E11" s="228"/>
      <x:c r="F11" s="228"/>
      <x:c r="G11" s="228"/>
      <x:c r="H11" s="228"/>
      <x:c r="I11" s="228"/>
    </x:row>
    <x:row r="12" ht="19" customHeight="1">
      <x:c r="B12" s="22" t="str">
        <x:v>Dividends paid (cash outflow)</x:v>
      </x:c>
      <x:c r="C12" s="232" t="n">
        <x:v>-17477.2</x:v>
      </x:c>
      <x:c r="D12" s="232" t="n">
        <x:v>-17967.58</x:v>
      </x:c>
      <x:c r="E12" s="228"/>
      <x:c r="F12" s="228"/>
      <x:c r="G12" s="228"/>
      <x:c r="H12" s="228"/>
      <x:c r="I12" s="228"/>
    </x:row>
    <x:row r="13" ht="22" customHeight="1">
      <x:c r="B13" s="108" t="str">
        <x:v>Simple CFO less PPE capex proxy</x:v>
      </x:c>
      <x:c r="C13" s="233" t="n">
        <x:f>C7+C11</x:f>
        <x:v>14962.369999999999</x:v>
      </x:c>
      <x:c r="D13" s="233" t="n">
        <x:f>D7+D11</x:f>
        <x:v>15025.670000000002</x:v>
      </x:c>
      <x:c r="E13" s="234"/>
      <x:c r="F13" s="234"/>
      <x:c r="G13" s="234"/>
      <x:c r="H13" s="234"/>
      <x:c r="I13" s="234"/>
    </x:row>
    <x:row r="14" ht="19" customHeight="1">
      <x:c r="B14" s="22"/>
      <x:c r="C14" s="228"/>
      <x:c r="D14" s="228"/>
      <x:c r="E14" s="228"/>
      <x:c r="F14" s="228"/>
      <x:c r="G14" s="228"/>
      <x:c r="H14" s="228"/>
      <x:c r="I14" s="228"/>
    </x:row>
    <x:row r="15" ht="19" customHeight="1">
      <x:c r="B15" s="22"/>
      <x:c r="C15" s="228"/>
      <x:c r="D15" s="228"/>
      <x:c r="E15" s="228"/>
      <x:c r="F15" s="228"/>
      <x:c r="G15" s="228"/>
      <x:c r="H15" s="228"/>
      <x:c r="I15" s="228"/>
    </x:row>
    <x:row r="16" ht="19" customHeight="1">
      <x:c r="B16" s="22"/>
      <x:c r="C16" s="228"/>
      <x:c r="D16" s="228"/>
      <x:c r="E16" s="228"/>
      <x:c r="F16" s="228"/>
      <x:c r="G16" s="228"/>
      <x:c r="H16" s="228"/>
      <x:c r="I16" s="228"/>
    </x:row>
    <x:row r="17" ht="27" customHeight="1">
      <x:c r="B17" s="120" t="str">
        <x:v>FY26 standalone CFO is ₹17,095 crore; FY26 cash paid as dividends ₹17,968 crore, exceeding cash earned before capex. Investment securities and cash reserves bridge timing.</x:v>
      </x:c>
      <x:c r="C17" s="237"/>
      <x:c r="D17" s="237"/>
      <x:c r="E17" s="237"/>
      <x:c r="F17" s="237"/>
      <x:c r="G17" s="237"/>
      <x:c r="H17" s="237"/>
      <x:c r="I17" s="237"/>
    </x:row>
    <x:row r="18" ht="27" customHeight="1">
      <x:c r="B18" s="120" t="str">
        <x:v>Historical cash and cash equivalents in cash-flow statement can differ from balance-sheet cash due to classification (e.g. restricted balances). The forecast is explicitly reconciled.</x:v>
      </x:c>
      <x:c r="C18" s="237"/>
      <x:c r="D18" s="237"/>
      <x:c r="E18" s="237"/>
      <x:c r="F18" s="237"/>
      <x:c r="G18" s="237"/>
      <x:c r="H18" s="237"/>
      <x:c r="I18" s="237"/>
    </x:row>
    <x:row r="19" ht="19" customHeight="1">
      <x:c r="B19" s="22"/>
      <x:c r="C19" s="228"/>
      <x:c r="D19" s="228"/>
      <x:c r="E19" s="228"/>
      <x:c r="F19" s="228"/>
      <x:c r="G19" s="228"/>
      <x:c r="H19" s="228"/>
      <x:c r="I19" s="228"/>
    </x:row>
    <x:row r="20" ht="19" customHeight="1">
      <x:c r="B20" s="22"/>
      <x:c r="C20" s="228"/>
      <x:c r="D20" s="228"/>
      <x:c r="E20" s="228"/>
      <x:c r="F20" s="228"/>
      <x:c r="G20" s="228"/>
      <x:c r="H20" s="228"/>
      <x:c r="I20" s="228"/>
    </x:row>
    <x:row r="21" ht="19" customHeight="1">
      <x:c r="B21" s="22"/>
      <x:c r="C21" s="228"/>
      <x:c r="D21" s="228"/>
      <x:c r="E21" s="228"/>
      <x:c r="F21" s="228"/>
      <x:c r="G21" s="228"/>
      <x:c r="H21" s="228"/>
      <x:c r="I21" s="228"/>
    </x:row>
    <x:row r="22" ht="19" customHeight="1">
      <x:c r="B22" s="22"/>
      <x:c r="C22" s="228"/>
      <x:c r="D22" s="228"/>
      <x:c r="E22" s="228"/>
      <x:c r="F22" s="228"/>
      <x:c r="G22" s="228"/>
      <x:c r="H22" s="228"/>
      <x:c r="I22" s="228"/>
    </x:row>
    <x:row r="23" ht="19" customHeight="1">
      <x:c r="B23" s="22"/>
      <x:c r="C23" s="228"/>
      <x:c r="D23" s="228"/>
      <x:c r="E23" s="228"/>
      <x:c r="F23" s="228"/>
      <x:c r="G23" s="228"/>
      <x:c r="H23" s="228"/>
      <x:c r="I23" s="228"/>
    </x:row>
    <x:row r="24" ht="19" customHeight="1">
      <x:c r="B24" s="22"/>
      <x:c r="C24" s="228"/>
      <x:c r="D24" s="228"/>
      <x:c r="E24" s="228"/>
      <x:c r="F24" s="228"/>
      <x:c r="G24" s="228"/>
      <x:c r="H24" s="228"/>
      <x:c r="I24" s="228"/>
    </x:row>
    <x:row r="25" ht="19" customHeight="1">
      <x:c r="B25" s="22"/>
      <x:c r="C25" s="228"/>
      <x:c r="D25" s="228"/>
      <x:c r="E25" s="228"/>
      <x:c r="F25" s="228"/>
      <x:c r="G25" s="228"/>
      <x:c r="H25" s="228"/>
      <x:c r="I25" s="228"/>
    </x:row>
    <x:row r="26" ht="19" customHeight="1">
      <x:c r="B26" s="22"/>
      <x:c r="C26" s="228"/>
      <x:c r="D26" s="228"/>
      <x:c r="E26" s="228"/>
      <x:c r="F26" s="228"/>
      <x:c r="G26" s="228"/>
      <x:c r="H26" s="228"/>
      <x:c r="I26" s="228"/>
    </x:row>
    <x:row r="27" ht="19" customHeight="1">
      <x:c r="B27" s="22"/>
      <x:c r="C27" s="228"/>
      <x:c r="D27" s="228"/>
      <x:c r="E27" s="228"/>
      <x:c r="F27" s="228"/>
      <x:c r="G27" s="228"/>
      <x:c r="H27" s="228"/>
      <x:c r="I27" s="228"/>
    </x:row>
    <x:row r="28" ht="19" customHeight="1">
      <x:c r="B28" s="22"/>
      <x:c r="C28" s="228"/>
      <x:c r="D28" s="228"/>
      <x:c r="E28" s="228"/>
      <x:c r="F28" s="228"/>
      <x:c r="G28" s="228"/>
      <x:c r="H28" s="228"/>
      <x:c r="I28" s="228"/>
    </x:row>
    <x:row r="29" ht="19" customHeight="1">
      <x:c r="B29" s="22"/>
      <x:c r="C29" s="228"/>
      <x:c r="D29" s="228"/>
      <x:c r="E29" s="228"/>
      <x:c r="F29" s="228"/>
      <x:c r="G29" s="228"/>
      <x:c r="H29" s="228"/>
      <x:c r="I29" s="228"/>
    </x:row>
    <x:row r="30" ht="19" customHeight="1">
      <x:c r="B30" s="22"/>
      <x:c r="C30" s="228"/>
      <x:c r="D30" s="228"/>
      <x:c r="E30" s="228"/>
      <x:c r="F30" s="228"/>
      <x:c r="G30" s="228"/>
      <x:c r="H30" s="228"/>
      <x:c r="I30" s="228"/>
    </x:row>
    <x:row r="31" ht="19" customHeight="1">
      <x:c r="B31" s="22"/>
      <x:c r="C31" s="228"/>
      <x:c r="D31" s="228"/>
      <x:c r="E31" s="228"/>
      <x:c r="F31" s="228"/>
      <x:c r="G31" s="228"/>
      <x:c r="H31" s="228"/>
      <x:c r="I31" s="228"/>
    </x:row>
    <x:row r="32" ht="19" customHeight="1">
      <x:c r="B32" s="22"/>
      <x:c r="C32" s="228"/>
      <x:c r="D32" s="228"/>
      <x:c r="E32" s="228"/>
      <x:c r="F32" s="228"/>
      <x:c r="G32" s="228"/>
      <x:c r="H32" s="228"/>
      <x:c r="I32" s="228"/>
    </x:row>
    <x:row r="33" ht="19" customHeight="1">
      <x:c r="B33" s="22"/>
      <x:c r="C33" s="228"/>
      <x:c r="D33" s="228"/>
      <x:c r="E33" s="228"/>
      <x:c r="F33" s="228"/>
      <x:c r="G33" s="228"/>
      <x:c r="H33" s="228"/>
      <x:c r="I33" s="228"/>
    </x:row>
    <x:row r="34" ht="19" customHeight="1">
      <x:c r="B34" s="22"/>
      <x:c r="C34" s="228"/>
      <x:c r="D34" s="228"/>
      <x:c r="E34" s="228"/>
      <x:c r="F34" s="228"/>
      <x:c r="G34" s="228"/>
      <x:c r="H34" s="228"/>
      <x:c r="I34" s="228"/>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19" customHeight="1">
      <x:c r="B38" s="22"/>
      <x:c r="C38" s="228"/>
      <x:c r="D38" s="228"/>
      <x:c r="E38" s="228"/>
      <x:c r="F38" s="228"/>
      <x:c r="G38" s="228"/>
      <x:c r="H38" s="228"/>
      <x:c r="I38" s="228"/>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43" customHeight="1">
      <x:c r="B48" s="207" t="str">
        <x:v>Historical numbers: FY25  https://nsearchives.nseindia.com/corporate/ixbrl/INTEGRATED_FILING_INDAS_92862_22052025181843_iXBRL_WEB.html  |  FY26  https://nsearchives.nseindia.com/corporate/ixbrl/INTEGRATED_FILING_INDAS_159755_21052026183213_iXBRL_WEB.html  |  Q1FY27  https://nsearchives.nseindia.com/corporate/ixbrl/INTEGRATED_FILING_INDAS_181204_31072026172335_iXBRL_WEB.html</x:v>
      </x:c>
      <x:c r="C48" s="238"/>
      <x:c r="D48" s="238"/>
      <x:c r="E48" s="238"/>
      <x:c r="F48" s="238"/>
      <x:c r="G48" s="238"/>
      <x:c r="H48" s="238"/>
      <x:c r="I48" s="23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17:I17"/>
    <x:mergeCell ref="B18:I18"/>
    <x:mergeCell ref="B48:I4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SCENARIO CONTROL BRIDGE</x:v>
      </x:c>
      <x:c r="C2" s="4"/>
      <x:c r="D2" s="4"/>
      <x:c r="E2" s="4"/>
      <x:c r="F2" s="4"/>
      <x:c r="G2" s="4"/>
      <x:c r="H2" s="4"/>
      <x:c r="I2" s="4"/>
    </x:row>
    <x:row r="3" ht="23" customHeight="1">
      <x:c r="B3" s="9" t="str">
        <x:v>Zero means base case. Bull/Bear deltas adjust the forecasts but do not change historical actuals.</x:v>
      </x:c>
      <x:c r="C3" s="9"/>
      <x:c r="D3" s="9"/>
      <x:c r="E3" s="9"/>
      <x:c r="F3" s="9"/>
      <x:c r="G3" s="9"/>
      <x:c r="H3" s="9"/>
      <x:c r="I3" s="9"/>
    </x:row>
    <x:row r="4" ht="24" customHeight="1">
      <x:c r="B4" s="18" t="str">
        <x:v>ITC LIMITED  •  ₹ crore unless noted</x:v>
      </x:c>
      <x:c r="C4" s="14" t="str">
        <x:v>BULL</x:v>
      </x:c>
      <x:c r="D4" s="14" t="str">
        <x:v>BASE</x:v>
      </x:c>
      <x:c r="E4" s="14" t="str">
        <x:v>BEAR</x:v>
      </x:c>
      <x:c r="F4" s="14" t="str">
        <x:v>ACTIVE</x:v>
      </x:c>
      <x:c r="G4" s="14" t="str"/>
      <x:c r="H4" s="14" t="str"/>
      <x:c r="I4" s="14" t="str"/>
    </x:row>
    <x:row r="5" ht="19" customHeight="1">
      <x:c r="B5" s="22" t="str">
        <x:v>Selected case</x:v>
      </x:c>
      <x:c r="C5" s="228"/>
      <x:c r="D5" s="228"/>
      <x:c r="E5" s="228"/>
      <x:c r="F5" s="252" t="str">
        <x:f>'Read Me'!D8</x:f>
        <x:v>Base</x:v>
      </x:c>
      <x:c r="G5" s="228"/>
      <x:c r="H5" s="228"/>
      <x:c r="I5" s="228"/>
    </x:row>
    <x:row r="6" ht="21" customHeight="1">
      <x:c r="B6" s="32" t="str">
        <x:v>SENSITIVITY ADJUSTMENTS / ANALYST INPUTS</x:v>
      </x:c>
      <x:c r="C6" s="229"/>
      <x:c r="D6" s="229"/>
      <x:c r="E6" s="229"/>
      <x:c r="F6" s="229"/>
      <x:c r="G6" s="229"/>
      <x:c r="H6" s="229"/>
      <x:c r="I6" s="229"/>
    </x:row>
    <x:row r="7" ht="19" customHeight="1">
      <x:c r="B7" s="22"/>
      <x:c r="C7" s="228"/>
      <x:c r="D7" s="228"/>
      <x:c r="E7" s="228"/>
      <x:c r="F7" s="228"/>
      <x:c r="G7" s="228"/>
      <x:c r="H7" s="228"/>
      <x:c r="I7" s="228"/>
    </x:row>
    <x:row r="8" ht="19" customHeight="1">
      <x:c r="B8" s="22" t="str">
        <x:v>FY27 cigarette Q1 revenue recovery shift</x:v>
      </x:c>
      <x:c r="C8" s="288" t="n">
        <x:v>0.1</x:v>
      </x:c>
      <x:c r="D8" s="288" t="n">
        <x:v>0</x:v>
      </x:c>
      <x:c r="E8" s="288" t="n">
        <x:v>-0.1</x:v>
      </x:c>
      <x:c r="F8" s="289" t="n">
        <x:f>IF('Read Me'!$D$8="Bull",C8,IF('Read Me'!$D$8="Bear",E8,D8))</x:f>
        <x:v>0</x:v>
      </x:c>
      <x:c r="G8" s="285"/>
      <x:c r="H8" s="285"/>
      <x:c r="I8" s="285"/>
    </x:row>
    <x:row r="9" ht="19" customHeight="1">
      <x:c r="B9" s="22" t="str">
        <x:v>Cigarette PBIT margin shift</x:v>
      </x:c>
      <x:c r="C9" s="288" t="n">
        <x:v>0.035</x:v>
      </x:c>
      <x:c r="D9" s="288" t="n">
        <x:v>0</x:v>
      </x:c>
      <x:c r="E9" s="288" t="n">
        <x:v>-0.045</x:v>
      </x:c>
      <x:c r="F9" s="289" t="n">
        <x:f>IF('Read Me'!$D$8="Bull",C9,IF('Read Me'!$D$8="Bear",E9,D9))</x:f>
        <x:v>0</x:v>
      </x:c>
      <x:c r="G9" s="285"/>
      <x:c r="H9" s="285"/>
      <x:c r="I9" s="285"/>
    </x:row>
    <x:row r="10" ht="19" customHeight="1">
      <x:c r="B10" s="22" t="str">
        <x:v>FMCG organic annual sales-growth shift</x:v>
      </x:c>
      <x:c r="C10" s="288" t="n">
        <x:v>0.03</x:v>
      </x:c>
      <x:c r="D10" s="288" t="n">
        <x:v>0</x:v>
      </x:c>
      <x:c r="E10" s="288" t="n">
        <x:v>-0.035</x:v>
      </x:c>
      <x:c r="F10" s="289" t="n">
        <x:f>IF('Read Me'!$D$8="Bull",C10,IF('Read Me'!$D$8="Bear",E10,D10))</x:f>
        <x:v>0</x:v>
      </x:c>
      <x:c r="G10" s="285"/>
      <x:c r="H10" s="285"/>
      <x:c r="I10" s="285"/>
    </x:row>
    <x:row r="11" ht="19" customHeight="1">
      <x:c r="B11" s="22" t="str">
        <x:v>FMCG PBIT margin shift</x:v>
      </x:c>
      <x:c r="C11" s="288" t="n">
        <x:v>0.01</x:v>
      </x:c>
      <x:c r="D11" s="288" t="n">
        <x:v>0</x:v>
      </x:c>
      <x:c r="E11" s="288" t="n">
        <x:v>-0.012</x:v>
      </x:c>
      <x:c r="F11" s="289" t="n">
        <x:f>IF('Read Me'!$D$8="Bull",C11,IF('Read Me'!$D$8="Bear",E11,D11))</x:f>
        <x:v>0</x:v>
      </x:c>
      <x:c r="G11" s="285"/>
      <x:c r="H11" s="285"/>
      <x:c r="I11" s="285"/>
    </x:row>
    <x:row r="12" ht="19" customHeight="1">
      <x:c r="B12" s="22" t="str">
        <x:v>Agri annual growth shift</x:v>
      </x:c>
      <x:c r="C12" s="288" t="n">
        <x:v>0.025</x:v>
      </x:c>
      <x:c r="D12" s="288" t="n">
        <x:v>0</x:v>
      </x:c>
      <x:c r="E12" s="288" t="n">
        <x:v>-0.03</x:v>
      </x:c>
      <x:c r="F12" s="289" t="n">
        <x:f>IF('Read Me'!$D$8="Bull",C12,IF('Read Me'!$D$8="Bear",E12,D12))</x:f>
        <x:v>0</x:v>
      </x:c>
      <x:c r="G12" s="285"/>
      <x:c r="H12" s="285"/>
      <x:c r="I12" s="285"/>
    </x:row>
    <x:row r="13" ht="19" customHeight="1">
      <x:c r="B13" s="22" t="str">
        <x:v>Paper PBIT margin shift</x:v>
      </x:c>
      <x:c r="C13" s="288" t="n">
        <x:v>0.018</x:v>
      </x:c>
      <x:c r="D13" s="288" t="n">
        <x:v>0</x:v>
      </x:c>
      <x:c r="E13" s="288" t="n">
        <x:v>-0.02</x:v>
      </x:c>
      <x:c r="F13" s="289" t="n">
        <x:f>IF('Read Me'!$D$8="Bull",C13,IF('Read Me'!$D$8="Bear",E13,D13))</x:f>
        <x:v>0</x:v>
      </x:c>
      <x:c r="G13" s="285"/>
      <x:c r="H13" s="285"/>
      <x:c r="I13" s="285"/>
    </x:row>
    <x:row r="14" ht="19" customHeight="1">
      <x:c r="B14" s="22" t="str">
        <x:v>Excise intensity proxy shift</x:v>
      </x:c>
      <x:c r="C14" s="288" t="n">
        <x:v>-0.05</x:v>
      </x:c>
      <x:c r="D14" s="288" t="n">
        <x:v>0</x:v>
      </x:c>
      <x:c r="E14" s="288" t="n">
        <x:v>0.06</x:v>
      </x:c>
      <x:c r="F14" s="289" t="n">
        <x:f>IF('Read Me'!$D$8="Bull",C14,IF('Read Me'!$D$8="Bear",E14,D14))</x:f>
        <x:v>0</x:v>
      </x:c>
      <x:c r="G14" s="285"/>
      <x:c r="H14" s="285"/>
      <x:c r="I14" s="285"/>
    </x:row>
    <x:row r="15" ht="19" customHeight="1">
      <x:c r="B15" s="22" t="str">
        <x:v>Paper organic growth shift</x:v>
      </x:c>
      <x:c r="C15" s="288" t="n">
        <x:v>0.025</x:v>
      </x:c>
      <x:c r="D15" s="288" t="n">
        <x:v>0</x:v>
      </x:c>
      <x:c r="E15" s="288" t="n">
        <x:v>-0.025</x:v>
      </x:c>
      <x:c r="F15" s="289" t="n">
        <x:f>IF('Read Me'!$D$8="Bull",C15,IF('Read Me'!$D$8="Bear",E15,D15))</x:f>
        <x:v>0</x:v>
      </x:c>
      <x:c r="G15" s="285"/>
      <x:c r="H15" s="285"/>
      <x:c r="I15" s="285"/>
    </x:row>
    <x:row r="16" ht="19" customHeight="1">
      <x:c r="B16" s="22" t="str">
        <x:v>Cigarette unit-volume change shift</x:v>
      </x:c>
      <x:c r="C16" s="288" t="n">
        <x:v>0.015</x:v>
      </x:c>
      <x:c r="D16" s="288" t="n">
        <x:v>0</x:v>
      </x:c>
      <x:c r="E16" s="288" t="n">
        <x:v>-0.025</x:v>
      </x:c>
      <x:c r="F16" s="289" t="n">
        <x:f>IF('Read Me'!$D$8="Bull",C16,IF('Read Me'!$D$8="Bear",E16,D16))</x:f>
        <x:v>0</x:v>
      </x:c>
      <x:c r="G16" s="285"/>
      <x:c r="H16" s="285"/>
      <x:c r="I16" s="285"/>
    </x:row>
    <x:row r="17" ht="19" customHeight="1">
      <x:c r="B17" s="22"/>
      <x:c r="C17" s="228"/>
      <x:c r="D17" s="228"/>
      <x:c r="E17" s="228"/>
      <x:c r="F17" s="228"/>
      <x:c r="G17" s="228"/>
      <x:c r="H17" s="228"/>
      <x:c r="I17" s="228"/>
    </x:row>
    <x:row r="18" ht="19" customHeight="1">
      <x:c r="B18" s="22"/>
      <x:c r="C18" s="228"/>
      <x:c r="D18" s="228"/>
      <x:c r="E18" s="228"/>
      <x:c r="F18" s="228"/>
      <x:c r="G18" s="228"/>
      <x:c r="H18" s="228"/>
      <x:c r="I18" s="228"/>
    </x:row>
    <x:row r="19" ht="27" customHeight="1">
      <x:c r="B19" s="120" t="str">
        <x:v>Bull and Bear are mechanical sensitivity cases; NOT forecast probabilities. Cigarette “volume index” is illustrative, not a verified unit shipment series.</x:v>
      </x:c>
      <x:c r="C19" s="237"/>
      <x:c r="D19" s="237"/>
      <x:c r="E19" s="237"/>
      <x:c r="F19" s="237"/>
      <x:c r="G19" s="237"/>
      <x:c r="H19" s="237"/>
      <x:c r="I19" s="237"/>
    </x:row>
    <x:row r="20" ht="19" customHeight="1">
      <x:c r="B20" s="22"/>
      <x:c r="C20" s="228"/>
      <x:c r="D20" s="228"/>
      <x:c r="E20" s="228"/>
      <x:c r="F20" s="228"/>
      <x:c r="G20" s="228"/>
      <x:c r="H20" s="228"/>
      <x:c r="I20" s="228"/>
    </x:row>
    <x:row r="21" ht="19" customHeight="1">
      <x:c r="B21" s="22"/>
      <x:c r="C21" s="228"/>
      <x:c r="D21" s="228"/>
      <x:c r="E21" s="228"/>
      <x:c r="F21" s="228"/>
      <x:c r="G21" s="228"/>
      <x:c r="H21" s="228"/>
      <x:c r="I21" s="228"/>
    </x:row>
    <x:row r="22" ht="19" customHeight="1">
      <x:c r="B22" s="22"/>
      <x:c r="C22" s="228"/>
      <x:c r="D22" s="228"/>
      <x:c r="E22" s="228"/>
      <x:c r="F22" s="228"/>
      <x:c r="G22" s="228"/>
      <x:c r="H22" s="228"/>
      <x:c r="I22" s="228"/>
    </x:row>
    <x:row r="23" ht="19" customHeight="1">
      <x:c r="B23" s="22"/>
      <x:c r="C23" s="228"/>
      <x:c r="D23" s="228"/>
      <x:c r="E23" s="228"/>
      <x:c r="F23" s="228"/>
      <x:c r="G23" s="228"/>
      <x:c r="H23" s="228"/>
      <x:c r="I23" s="228"/>
    </x:row>
    <x:row r="24" ht="19" customHeight="1">
      <x:c r="B24" s="22"/>
      <x:c r="C24" s="228"/>
      <x:c r="D24" s="228"/>
      <x:c r="E24" s="228"/>
      <x:c r="F24" s="228"/>
      <x:c r="G24" s="228"/>
      <x:c r="H24" s="228"/>
      <x:c r="I24" s="228"/>
    </x:row>
    <x:row r="25" ht="19" customHeight="1">
      <x:c r="B25" s="22"/>
      <x:c r="C25" s="228"/>
      <x:c r="D25" s="228"/>
      <x:c r="E25" s="228"/>
      <x:c r="F25" s="228"/>
      <x:c r="G25" s="228"/>
      <x:c r="H25" s="228"/>
      <x:c r="I25" s="228"/>
    </x:row>
    <x:row r="26" ht="19" customHeight="1">
      <x:c r="B26" s="22"/>
      <x:c r="C26" s="228"/>
      <x:c r="D26" s="228"/>
      <x:c r="E26" s="228"/>
      <x:c r="F26" s="228"/>
      <x:c r="G26" s="228"/>
      <x:c r="H26" s="228"/>
      <x:c r="I26" s="228"/>
    </x:row>
    <x:row r="27" ht="19" customHeight="1">
      <x:c r="B27" s="22"/>
      <x:c r="C27" s="228"/>
      <x:c r="D27" s="228"/>
      <x:c r="E27" s="228"/>
      <x:c r="F27" s="228"/>
      <x:c r="G27" s="228"/>
      <x:c r="H27" s="228"/>
      <x:c r="I27" s="228"/>
    </x:row>
    <x:row r="28" ht="19" customHeight="1">
      <x:c r="B28" s="22"/>
      <x:c r="C28" s="228"/>
      <x:c r="D28" s="228"/>
      <x:c r="E28" s="228"/>
      <x:c r="F28" s="228"/>
      <x:c r="G28" s="228"/>
      <x:c r="H28" s="228"/>
      <x:c r="I28" s="228"/>
    </x:row>
    <x:row r="29" ht="19" customHeight="1">
      <x:c r="B29" s="22"/>
      <x:c r="C29" s="228"/>
      <x:c r="D29" s="228"/>
      <x:c r="E29" s="228"/>
      <x:c r="F29" s="228"/>
      <x:c r="G29" s="228"/>
      <x:c r="H29" s="228"/>
      <x:c r="I29" s="228"/>
    </x:row>
    <x:row r="30" ht="19" customHeight="1">
      <x:c r="B30" s="22"/>
      <x:c r="C30" s="228"/>
      <x:c r="D30" s="228"/>
      <x:c r="E30" s="228"/>
      <x:c r="F30" s="228"/>
      <x:c r="G30" s="228"/>
      <x:c r="H30" s="228"/>
      <x:c r="I30" s="228"/>
    </x:row>
    <x:row r="31" ht="19" customHeight="1">
      <x:c r="B31" s="22"/>
      <x:c r="C31" s="228"/>
      <x:c r="D31" s="228"/>
      <x:c r="E31" s="228"/>
      <x:c r="F31" s="228"/>
      <x:c r="G31" s="228"/>
      <x:c r="H31" s="228"/>
      <x:c r="I31" s="228"/>
    </x:row>
    <x:row r="32" ht="19" customHeight="1">
      <x:c r="B32" s="22"/>
      <x:c r="C32" s="228"/>
      <x:c r="D32" s="228"/>
      <x:c r="E32" s="228"/>
      <x:c r="F32" s="228"/>
      <x:c r="G32" s="228"/>
      <x:c r="H32" s="228"/>
      <x:c r="I32" s="228"/>
    </x:row>
    <x:row r="33" ht="19" customHeight="1">
      <x:c r="B33" s="22"/>
      <x:c r="C33" s="228"/>
      <x:c r="D33" s="228"/>
      <x:c r="E33" s="228"/>
      <x:c r="F33" s="228"/>
      <x:c r="G33" s="228"/>
      <x:c r="H33" s="228"/>
      <x:c r="I33" s="228"/>
    </x:row>
    <x:row r="34" ht="19" customHeight="1">
      <x:c r="B34" s="22"/>
      <x:c r="C34" s="228"/>
      <x:c r="D34" s="228"/>
      <x:c r="E34" s="228"/>
      <x:c r="F34" s="228"/>
      <x:c r="G34" s="228"/>
      <x:c r="H34" s="228"/>
      <x:c r="I34" s="228"/>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19" customHeight="1">
      <x:c r="B38" s="22"/>
      <x:c r="C38" s="228"/>
      <x:c r="D38" s="228"/>
      <x:c r="E38" s="228"/>
      <x:c r="F38" s="228"/>
      <x:c r="G38" s="228"/>
      <x:c r="H38" s="228"/>
      <x:c r="I38" s="228"/>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19" customHeight="1">
      <x:c r="B48" s="22"/>
      <x:c r="C48" s="228"/>
      <x:c r="D48" s="228"/>
      <x:c r="E48" s="228"/>
      <x:c r="F48" s="228"/>
      <x:c r="G48" s="228"/>
      <x:c r="H48" s="228"/>
      <x:c r="I48" s="22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19:I1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SEGMENT &amp; CASH FLOW ASSUMPTIONS</x:v>
      </x:c>
      <x:c r="C2" s="4"/>
      <x:c r="D2" s="4"/>
      <x:c r="E2" s="4"/>
      <x:c r="F2" s="4"/>
      <x:c r="G2" s="4"/>
      <x:c r="H2" s="4"/>
      <x:c r="I2" s="4"/>
    </x:row>
    <x:row r="3" ht="23" customHeight="1">
      <x:c r="B3" s="9" t="str">
        <x:v>All highlighted numbers are analyst judgments as of 28 Sep 2026, not published management guidance.</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19" customHeight="1">
      <x:c r="B5" s="22"/>
      <x:c r="C5" s="228"/>
      <x:c r="D5" s="228"/>
      <x:c r="E5" s="228"/>
      <x:c r="F5" s="228"/>
      <x:c r="G5" s="228"/>
      <x:c r="H5" s="228"/>
      <x:c r="I5" s="228"/>
    </x:row>
    <x:row r="6" ht="19" customHeight="1">
      <x:c r="B6" s="22"/>
      <x:c r="C6" s="228"/>
      <x:c r="D6" s="228"/>
      <x:c r="E6" s="228"/>
      <x:c r="F6" s="228"/>
      <x:c r="G6" s="228"/>
      <x:c r="H6" s="228"/>
      <x:c r="I6" s="228"/>
    </x:row>
    <x:row r="7" ht="21" customHeight="1">
      <x:c r="B7" s="32" t="str">
        <x:v>TOBACCO REFORM / ASSUMED NORMALISATION</x:v>
      </x:c>
      <x:c r="C7" s="229"/>
      <x:c r="D7" s="229"/>
      <x:c r="E7" s="229"/>
      <x:c r="F7" s="229"/>
      <x:c r="G7" s="229"/>
      <x:c r="H7" s="229"/>
      <x:c r="I7" s="229"/>
    </x:row>
    <x:row r="8" ht="19" customHeight="1">
      <x:c r="B8" s="22"/>
      <x:c r="C8" s="228"/>
      <x:c r="D8" s="228"/>
      <x:c r="E8" s="228"/>
      <x:c r="F8" s="228"/>
      <x:c r="G8" s="228"/>
      <x:c r="H8" s="228"/>
      <x:c r="I8" s="228"/>
    </x:row>
    <x:row r="9" ht="19" customHeight="1">
      <x:c r="B9" s="22"/>
      <x:c r="C9" s="228"/>
      <x:c r="D9" s="228"/>
      <x:c r="E9" s="228"/>
      <x:c r="F9" s="228"/>
      <x:c r="G9" s="228"/>
      <x:c r="H9" s="228"/>
      <x:c r="I9" s="228"/>
    </x:row>
    <x:row r="10" ht="19" customHeight="1">
      <x:c r="B10" s="22" t="str">
        <x:v>Cigarette volume change (%), FY28+</x:v>
      </x:c>
      <x:c r="C10" s="285"/>
      <x:c r="D10" s="285"/>
      <x:c r="E10" s="288" t="n">
        <x:v>0</x:v>
      </x:c>
      <x:c r="F10" s="288" t="n">
        <x:v>-0.02</x:v>
      </x:c>
      <x:c r="G10" s="288" t="n">
        <x:v>-0.01</x:v>
      </x:c>
      <x:c r="H10" s="288" t="n">
        <x:v>0</x:v>
      </x:c>
      <x:c r="I10" s="288" t="n">
        <x:v>0</x:v>
      </x:c>
    </x:row>
    <x:row r="11" ht="19" customHeight="1">
      <x:c r="B11" s="22" t="str">
        <x:v>Cigarette net realization/mix change</x:v>
      </x:c>
      <x:c r="C11" s="285"/>
      <x:c r="D11" s="285"/>
      <x:c r="E11" s="288" t="n">
        <x:v>0</x:v>
      </x:c>
      <x:c r="F11" s="288" t="n">
        <x:v>0.065</x:v>
      </x:c>
      <x:c r="G11" s="288" t="n">
        <x:v>0.065</x:v>
      </x:c>
      <x:c r="H11" s="288" t="n">
        <x:v>0.06</x:v>
      </x:c>
      <x:c r="I11" s="288" t="n">
        <x:v>0.06</x:v>
      </x:c>
    </x:row>
    <x:row r="12" ht="19" customHeight="1">
      <x:c r="B12" s="22" t="str">
        <x:v>FY27 Q1 ex-excise annualisation uplift</x:v>
      </x:c>
      <x:c r="C12" s="285"/>
      <x:c r="D12" s="285"/>
      <x:c r="E12" s="288" t="n">
        <x:v>0.1</x:v>
      </x:c>
      <x:c r="F12" s="288" t="n">
        <x:v>0</x:v>
      </x:c>
      <x:c r="G12" s="288" t="n">
        <x:v>0</x:v>
      </x:c>
      <x:c r="H12" s="288" t="n">
        <x:v>0</x:v>
      </x:c>
      <x:c r="I12" s="288" t="n">
        <x:v>0</x:v>
      </x:c>
    </x:row>
    <x:row r="13" ht="19" customHeight="1">
      <x:c r="B13" s="22" t="str">
        <x:v>Excise intensity / ex-excise cig revenue</x:v>
      </x:c>
      <x:c r="C13" s="285"/>
      <x:c r="D13" s="285"/>
      <x:c r="E13" s="288" t="n">
        <x:v>1.88</x:v>
      </x:c>
      <x:c r="F13" s="288" t="n">
        <x:v>1.9</x:v>
      </x:c>
      <x:c r="G13" s="288" t="n">
        <x:v>1.92</x:v>
      </x:c>
      <x:c r="H13" s="288" t="n">
        <x:v>1.94</x:v>
      </x:c>
      <x:c r="I13" s="288" t="n">
        <x:v>1.96</x:v>
      </x:c>
    </x:row>
    <x:row r="14" ht="19" customHeight="1">
      <x:c r="B14" s="22" t="str">
        <x:v>Cigarette PBIT / ex-excise cig revenue</x:v>
      </x:c>
      <x:c r="C14" s="285"/>
      <x:c r="D14" s="285"/>
      <x:c r="E14" s="288" t="n">
        <x:v>0.615</x:v>
      </x:c>
      <x:c r="F14" s="288" t="n">
        <x:v>0.625</x:v>
      </x:c>
      <x:c r="G14" s="288" t="n">
        <x:v>0.63</x:v>
      </x:c>
      <x:c r="H14" s="288" t="n">
        <x:v>0.64</x:v>
      </x:c>
      <x:c r="I14" s="288" t="n">
        <x:v>0.645</x:v>
      </x:c>
    </x:row>
    <x:row r="15" ht="21" customHeight="1">
      <x:c r="B15" s="32" t="str">
        <x:v>FMCG - OTHERS</x:v>
      </x:c>
      <x:c r="C15" s="229"/>
      <x:c r="D15" s="229"/>
      <x:c r="E15" s="229"/>
      <x:c r="F15" s="229"/>
      <x:c r="G15" s="229"/>
      <x:c r="H15" s="229"/>
      <x:c r="I15" s="229"/>
    </x:row>
    <x:row r="16" ht="19" customHeight="1">
      <x:c r="B16" s="22" t="str">
        <x:v>FMCG Others revenue growth</x:v>
      </x:c>
      <x:c r="C16" s="285"/>
      <x:c r="D16" s="285"/>
      <x:c r="E16" s="288" t="n">
        <x:v>0.11</x:v>
      </x:c>
      <x:c r="F16" s="288" t="n">
        <x:v>0.11</x:v>
      </x:c>
      <x:c r="G16" s="288" t="n">
        <x:v>0.1</x:v>
      </x:c>
      <x:c r="H16" s="288" t="n">
        <x:v>0.09</x:v>
      </x:c>
      <x:c r="I16" s="288" t="n">
        <x:v>0.08</x:v>
      </x:c>
    </x:row>
    <x:row r="17" ht="19" customHeight="1">
      <x:c r="B17" s="22" t="str">
        <x:v>FMCG Others PBIT margin</x:v>
      </x:c>
      <x:c r="C17" s="285"/>
      <x:c r="D17" s="285"/>
      <x:c r="E17" s="288" t="n">
        <x:v>0.085</x:v>
      </x:c>
      <x:c r="F17" s="288" t="n">
        <x:v>0.092</x:v>
      </x:c>
      <x:c r="G17" s="288" t="n">
        <x:v>0.098</x:v>
      </x:c>
      <x:c r="H17" s="288" t="n">
        <x:v>0.104</x:v>
      </x:c>
      <x:c r="I17" s="288" t="n">
        <x:v>0.11</x:v>
      </x:c>
    </x:row>
    <x:row r="18" ht="21" customHeight="1">
      <x:c r="B18" s="32" t="str">
        <x:v>AGRI BUSINESS</x:v>
      </x:c>
      <x:c r="C18" s="229"/>
      <x:c r="D18" s="229"/>
      <x:c r="E18" s="229"/>
      <x:c r="F18" s="229"/>
      <x:c r="G18" s="229"/>
      <x:c r="H18" s="229"/>
      <x:c r="I18" s="229"/>
    </x:row>
    <x:row r="19" ht="19" customHeight="1">
      <x:c r="B19" s="22" t="str">
        <x:v>Agri segment reported revenue growth</x:v>
      </x:c>
      <x:c r="C19" s="285"/>
      <x:c r="D19" s="285"/>
      <x:c r="E19" s="288" t="n">
        <x:v>0.03</x:v>
      </x:c>
      <x:c r="F19" s="288" t="n">
        <x:v>0.05</x:v>
      </x:c>
      <x:c r="G19" s="288" t="n">
        <x:v>0.05</x:v>
      </x:c>
      <x:c r="H19" s="288" t="n">
        <x:v>0.05</x:v>
      </x:c>
      <x:c r="I19" s="288" t="n">
        <x:v>0.05</x:v>
      </x:c>
    </x:row>
    <x:row r="20" ht="19" customHeight="1">
      <x:c r="B20" s="22" t="str">
        <x:v>Agri segment PBIT margin</x:v>
      </x:c>
      <x:c r="C20" s="285"/>
      <x:c r="D20" s="285"/>
      <x:c r="E20" s="288" t="n">
        <x:v>0.07</x:v>
      </x:c>
      <x:c r="F20" s="288" t="n">
        <x:v>0.072</x:v>
      </x:c>
      <x:c r="G20" s="288" t="n">
        <x:v>0.074</x:v>
      </x:c>
      <x:c r="H20" s="288" t="n">
        <x:v>0.075</x:v>
      </x:c>
      <x:c r="I20" s="288" t="n">
        <x:v>0.075</x:v>
      </x:c>
    </x:row>
    <x:row r="21" ht="21" customHeight="1">
      <x:c r="B21" s="32" t="str">
        <x:v>PAPER AND CENTURY</x:v>
      </x:c>
      <x:c r="C21" s="229"/>
      <x:c r="D21" s="229"/>
      <x:c r="E21" s="229"/>
      <x:c r="F21" s="229"/>
      <x:c r="G21" s="229"/>
      <x:c r="H21" s="229"/>
      <x:c r="I21" s="229"/>
    </x:row>
    <x:row r="22" ht="19" customHeight="1">
      <x:c r="B22" s="22" t="str">
        <x:v>Legacy paper segment revenue growth</x:v>
      </x:c>
      <x:c r="C22" s="285"/>
      <x:c r="D22" s="285"/>
      <x:c r="E22" s="288" t="n">
        <x:v>0.02</x:v>
      </x:c>
      <x:c r="F22" s="288" t="n">
        <x:v>0.04</x:v>
      </x:c>
      <x:c r="G22" s="288" t="n">
        <x:v>0.05</x:v>
      </x:c>
      <x:c r="H22" s="288" t="n">
        <x:v>0.05</x:v>
      </x:c>
      <x:c r="I22" s="288" t="n">
        <x:v>0.05</x:v>
      </x:c>
    </x:row>
    <x:row r="23" ht="19" customHeight="1">
      <x:c r="B23" s="22" t="str">
        <x:v>Century Pulp incremental revenue ₹ cr</x:v>
      </x:c>
      <x:c r="C23" s="228"/>
      <x:c r="D23" s="228"/>
      <x:c r="E23" s="253" t="n">
        <x:v>1500</x:v>
      </x:c>
      <x:c r="F23" s="253" t="n">
        <x:v>2300</x:v>
      </x:c>
      <x:c r="G23" s="253" t="n">
        <x:v>2500</x:v>
      </x:c>
      <x:c r="H23" s="253" t="n">
        <x:v>2600</x:v>
      </x:c>
      <x:c r="I23" s="253" t="n">
        <x:v>2700</x:v>
      </x:c>
    </x:row>
    <x:row r="24" ht="19" customHeight="1">
      <x:c r="B24" s="22" t="str">
        <x:v>Total paper PBIT margin</x:v>
      </x:c>
      <x:c r="C24" s="285"/>
      <x:c r="D24" s="285"/>
      <x:c r="E24" s="288" t="n">
        <x:v>0.075</x:v>
      </x:c>
      <x:c r="F24" s="288" t="n">
        <x:v>0.08</x:v>
      </x:c>
      <x:c r="G24" s="288" t="n">
        <x:v>0.084</x:v>
      </x:c>
      <x:c r="H24" s="288" t="n">
        <x:v>0.088</x:v>
      </x:c>
      <x:c r="I24" s="288" t="n">
        <x:v>0.09</x:v>
      </x:c>
    </x:row>
    <x:row r="25" ht="21" customHeight="1">
      <x:c r="B25" s="32" t="str">
        <x:v>OTHER / GROUP</x:v>
      </x:c>
      <x:c r="C25" s="229"/>
      <x:c r="D25" s="229"/>
      <x:c r="E25" s="229"/>
      <x:c r="F25" s="229"/>
      <x:c r="G25" s="229"/>
      <x:c r="H25" s="229"/>
      <x:c r="I25" s="229"/>
    </x:row>
    <x:row r="26" ht="19" customHeight="1">
      <x:c r="B26" s="22" t="str">
        <x:v>Other segment revenue growth</x:v>
      </x:c>
      <x:c r="C26" s="285"/>
      <x:c r="D26" s="285"/>
      <x:c r="E26" s="288" t="n">
        <x:v>0.01</x:v>
      </x:c>
      <x:c r="F26" s="288" t="n">
        <x:v>0.02</x:v>
      </x:c>
      <x:c r="G26" s="288" t="n">
        <x:v>0.02</x:v>
      </x:c>
      <x:c r="H26" s="288" t="n">
        <x:v>0.02</x:v>
      </x:c>
      <x:c r="I26" s="288" t="n">
        <x:v>0.02</x:v>
      </x:c>
    </x:row>
    <x:row r="27" ht="19" customHeight="1">
      <x:c r="B27" s="22" t="str">
        <x:v>Other segment PBIT margin</x:v>
      </x:c>
      <x:c r="C27" s="285"/>
      <x:c r="D27" s="285"/>
      <x:c r="E27" s="288" t="n">
        <x:v>0</x:v>
      </x:c>
      <x:c r="F27" s="288" t="n">
        <x:v>0</x:v>
      </x:c>
      <x:c r="G27" s="288" t="n">
        <x:v>0</x:v>
      </x:c>
      <x:c r="H27" s="288" t="n">
        <x:v>0</x:v>
      </x:c>
      <x:c r="I27" s="288" t="n">
        <x:v>0</x:v>
      </x:c>
    </x:row>
    <x:row r="28" ht="19" customHeight="1">
      <x:c r="B28" s="22"/>
      <x:c r="C28" s="228"/>
      <x:c r="D28" s="228"/>
      <x:c r="E28" s="228"/>
      <x:c r="F28" s="228"/>
      <x:c r="G28" s="228"/>
      <x:c r="H28" s="228"/>
      <x:c r="I28" s="228"/>
    </x:row>
    <x:row r="29" ht="19" customHeight="1">
      <x:c r="B29" s="22" t="str">
        <x:v>Intersegment eliminations / segment turnover</x:v>
      </x:c>
      <x:c r="C29" s="285"/>
      <x:c r="D29" s="285"/>
      <x:c r="E29" s="288" t="n">
        <x:v>0.145</x:v>
      </x:c>
      <x:c r="F29" s="288" t="n">
        <x:v>0.145</x:v>
      </x:c>
      <x:c r="G29" s="288" t="n">
        <x:v>0.145</x:v>
      </x:c>
      <x:c r="H29" s="288" t="n">
        <x:v>0.145</x:v>
      </x:c>
      <x:c r="I29" s="288" t="n">
        <x:v>0.145</x:v>
      </x:c>
    </x:row>
    <x:row r="30" ht="19" customHeight="1">
      <x:c r="B30" s="22" t="str">
        <x:v>Other operating rev / gross product revenue</x:v>
      </x:c>
      <x:c r="C30" s="285"/>
      <x:c r="D30" s="285"/>
      <x:c r="E30" s="288" t="n">
        <x:v>0.008</x:v>
      </x:c>
      <x:c r="F30" s="288" t="n">
        <x:v>0.008</x:v>
      </x:c>
      <x:c r="G30" s="288" t="n">
        <x:v>0.008</x:v>
      </x:c>
      <x:c r="H30" s="288" t="n">
        <x:v>0.008</x:v>
      </x:c>
      <x:c r="I30" s="288" t="n">
        <x:v>0.008</x:v>
      </x:c>
    </x:row>
    <x:row r="31" ht="21" customHeight="1">
      <x:c r="B31" s="32" t="str">
        <x:v>CORPORATE / TAX</x:v>
      </x:c>
      <x:c r="C31" s="229"/>
      <x:c r="D31" s="229"/>
      <x:c r="E31" s="229"/>
      <x:c r="F31" s="229"/>
      <x:c r="G31" s="229"/>
      <x:c r="H31" s="229"/>
      <x:c r="I31" s="229"/>
    </x:row>
    <x:row r="32" ht="19" customHeight="1">
      <x:c r="B32" s="22" t="str">
        <x:v>Recurring unallocated net income, ₹ cr</x:v>
      </x:c>
      <x:c r="C32" s="228"/>
      <x:c r="D32" s="228"/>
      <x:c r="E32" s="253" t="n">
        <x:v>1600</x:v>
      </x:c>
      <x:c r="F32" s="253" t="n">
        <x:v>1630</x:v>
      </x:c>
      <x:c r="G32" s="253" t="n">
        <x:v>1660</x:v>
      </x:c>
      <x:c r="H32" s="253" t="n">
        <x:v>1690</x:v>
      </x:c>
      <x:c r="I32" s="253" t="n">
        <x:v>1720</x:v>
      </x:c>
    </x:row>
    <x:row r="33" ht="19" customHeight="1">
      <x:c r="B33" s="22" t="str">
        <x:v>Finance expense, ₹ cr</x:v>
      </x:c>
      <x:c r="C33" s="228"/>
      <x:c r="D33" s="228"/>
      <x:c r="E33" s="253" t="n">
        <x:v>80</x:v>
      </x:c>
      <x:c r="F33" s="253" t="n">
        <x:v>85</x:v>
      </x:c>
      <x:c r="G33" s="253" t="n">
        <x:v>90</x:v>
      </x:c>
      <x:c r="H33" s="253" t="n">
        <x:v>95</x:v>
      </x:c>
      <x:c r="I33" s="253" t="n">
        <x:v>100</x:v>
      </x:c>
    </x:row>
    <x:row r="34" ht="19" customHeight="1">
      <x:c r="B34" s="22" t="str">
        <x:v>Tax rate on PBT</x:v>
      </x:c>
      <x:c r="C34" s="285"/>
      <x:c r="D34" s="285"/>
      <x:c r="E34" s="288" t="n">
        <x:v>0.252</x:v>
      </x:c>
      <x:c r="F34" s="288" t="n">
        <x:v>0.252</x:v>
      </x:c>
      <x:c r="G34" s="288" t="n">
        <x:v>0.252</x:v>
      </x:c>
      <x:c r="H34" s="288" t="n">
        <x:v>0.252</x:v>
      </x:c>
      <x:c r="I34" s="288" t="n">
        <x:v>0.252</x:v>
      </x:c>
    </x:row>
    <x:row r="35" ht="19" customHeight="1">
      <x:c r="B35" s="22" t="str">
        <x:v>Depreciation and amortisation, ₹ cr</x:v>
      </x:c>
      <x:c r="C35" s="228"/>
      <x:c r="D35" s="228"/>
      <x:c r="E35" s="253" t="n">
        <x:v>1600</x:v>
      </x:c>
      <x:c r="F35" s="253" t="n">
        <x:v>1750</x:v>
      </x:c>
      <x:c r="G35" s="253" t="n">
        <x:v>1800</x:v>
      </x:c>
      <x:c r="H35" s="253" t="n">
        <x:v>1900</x:v>
      </x:c>
      <x:c r="I35" s="253" t="n">
        <x:v>2000</x:v>
      </x:c>
    </x:row>
    <x:row r="36" ht="21" customHeight="1">
      <x:c r="B36" s="32" t="str">
        <x:v>WORKING CAPITAL / CASH FLOW</x:v>
      </x:c>
      <x:c r="C36" s="229"/>
      <x:c r="D36" s="229"/>
      <x:c r="E36" s="229"/>
      <x:c r="F36" s="229"/>
      <x:c r="G36" s="229"/>
      <x:c r="H36" s="229"/>
      <x:c r="I36" s="229"/>
    </x:row>
    <x:row r="37" ht="19" customHeight="1">
      <x:c r="B37" s="22" t="str">
        <x:v>Inventory / sales net of excise</x:v>
      </x:c>
      <x:c r="C37" s="285"/>
      <x:c r="D37" s="285"/>
      <x:c r="E37" s="288" t="n">
        <x:v>0.26</x:v>
      </x:c>
      <x:c r="F37" s="288" t="n">
        <x:v>0.255</x:v>
      </x:c>
      <x:c r="G37" s="288" t="n">
        <x:v>0.25</x:v>
      </x:c>
      <x:c r="H37" s="288" t="n">
        <x:v>0.248</x:v>
      </x:c>
      <x:c r="I37" s="288" t="n">
        <x:v>0.245</x:v>
      </x:c>
    </x:row>
    <x:row r="38" ht="19" customHeight="1">
      <x:c r="B38" s="22" t="str">
        <x:v>Trade receivables / net sales</x:v>
      </x:c>
      <x:c r="C38" s="285"/>
      <x:c r="D38" s="285"/>
      <x:c r="E38" s="288" t="n">
        <x:v>0.044</x:v>
      </x:c>
      <x:c r="F38" s="288" t="n">
        <x:v>0.045</x:v>
      </x:c>
      <x:c r="G38" s="288" t="n">
        <x:v>0.046</x:v>
      </x:c>
      <x:c r="H38" s="288" t="n">
        <x:v>0.046</x:v>
      </x:c>
      <x:c r="I38" s="288" t="n">
        <x:v>0.046</x:v>
      </x:c>
    </x:row>
    <x:row r="39" ht="19" customHeight="1">
      <x:c r="B39" s="22" t="str">
        <x:v>Other current assets / net sales</x:v>
      </x:c>
      <x:c r="C39" s="285"/>
      <x:c r="D39" s="285"/>
      <x:c r="E39" s="288" t="n">
        <x:v>0.048</x:v>
      </x:c>
      <x:c r="F39" s="288" t="n">
        <x:v>0.048</x:v>
      </x:c>
      <x:c r="G39" s="288" t="n">
        <x:v>0.048</x:v>
      </x:c>
      <x:c r="H39" s="288" t="n">
        <x:v>0.048</x:v>
      </x:c>
      <x:c r="I39" s="288" t="n">
        <x:v>0.048</x:v>
      </x:c>
    </x:row>
    <x:row r="40" ht="19" customHeight="1">
      <x:c r="B40" s="22" t="str">
        <x:v>Trade payable / net sales</x:v>
      </x:c>
      <x:c r="C40" s="285"/>
      <x:c r="D40" s="285"/>
      <x:c r="E40" s="288" t="n">
        <x:v>0.075</x:v>
      </x:c>
      <x:c r="F40" s="288" t="n">
        <x:v>0.075</x:v>
      </x:c>
      <x:c r="G40" s="288" t="n">
        <x:v>0.076</x:v>
      </x:c>
      <x:c r="H40" s="288" t="n">
        <x:v>0.076</x:v>
      </x:c>
      <x:c r="I40" s="288" t="n">
        <x:v>0.077</x:v>
      </x:c>
    </x:row>
    <x:row r="41" ht="19" customHeight="1">
      <x:c r="B41" s="22" t="str">
        <x:v>Other current liabilities / net sales</x:v>
      </x:c>
      <x:c r="C41" s="285"/>
      <x:c r="D41" s="285"/>
      <x:c r="E41" s="288" t="n">
        <x:v>0.11</x:v>
      </x:c>
      <x:c r="F41" s="288" t="n">
        <x:v>0.108</x:v>
      </x:c>
      <x:c r="G41" s="288" t="n">
        <x:v>0.107</x:v>
      </x:c>
      <x:c r="H41" s="288" t="n">
        <x:v>0.107</x:v>
      </x:c>
      <x:c r="I41" s="288" t="n">
        <x:v>0.106</x:v>
      </x:c>
    </x:row>
    <x:row r="42" ht="21" customHeight="1">
      <x:c r="B42" s="32" t="str">
        <x:v>CAPITAL ALLOCATION</x:v>
      </x:c>
      <x:c r="C42" s="229"/>
      <x:c r="D42" s="229"/>
      <x:c r="E42" s="229"/>
      <x:c r="F42" s="229"/>
      <x:c r="G42" s="229"/>
      <x:c r="H42" s="229"/>
      <x:c r="I42" s="229"/>
    </x:row>
    <x:row r="43" ht="19" customHeight="1">
      <x:c r="B43" s="22" t="str">
        <x:v>Operating capex, ₹ cr</x:v>
      </x:c>
      <x:c r="C43" s="228"/>
      <x:c r="D43" s="228"/>
      <x:c r="E43" s="253" t="n">
        <x:v>2600</x:v>
      </x:c>
      <x:c r="F43" s="253" t="n">
        <x:v>2800</x:v>
      </x:c>
      <x:c r="G43" s="253" t="n">
        <x:v>2900</x:v>
      </x:c>
      <x:c r="H43" s="253" t="n">
        <x:v>3100</x:v>
      </x:c>
      <x:c r="I43" s="253" t="n">
        <x:v>3300</x:v>
      </x:c>
    </x:row>
    <x:row r="44" ht="19" customHeight="1">
      <x:c r="B44" s="22" t="str">
        <x:v>Century cash purchase, ₹ cr</x:v>
      </x:c>
      <x:c r="C44" s="228"/>
      <x:c r="D44" s="228"/>
      <x:c r="E44" s="253" t="n">
        <x:v>3498</x:v>
      </x:c>
      <x:c r="F44" s="253" t="n">
        <x:v>0</x:v>
      </x:c>
      <x:c r="G44" s="253" t="n">
        <x:v>0</x:v>
      </x:c>
      <x:c r="H44" s="253" t="n">
        <x:v>0</x:v>
      </x:c>
      <x:c r="I44" s="253" t="n">
        <x:v>0</x:v>
      </x:c>
    </x:row>
    <x:row r="45" ht="19" customHeight="1">
      <x:c r="B45" s="22" t="str">
        <x:v>Cash dividends / ongoing PAT</x:v>
      </x:c>
      <x:c r="C45" s="285"/>
      <x:c r="D45" s="285"/>
      <x:c r="E45" s="288" t="n">
        <x:v>0.85</x:v>
      </x:c>
      <x:c r="F45" s="288" t="n">
        <x:v>0.83</x:v>
      </x:c>
      <x:c r="G45" s="288" t="n">
        <x:v>0.82</x:v>
      </x:c>
      <x:c r="H45" s="288" t="n">
        <x:v>0.82</x:v>
      </x:c>
      <x:c r="I45" s="288" t="n">
        <x:v>0.82</x:v>
      </x:c>
    </x:row>
    <x:row r="46" ht="19" customHeight="1">
      <x:c r="B46" s="22" t="str">
        <x:v>Net debt change (repay negative), ₹ cr</x:v>
      </x:c>
      <x:c r="C46" s="228"/>
      <x:c r="D46" s="228"/>
      <x:c r="E46" s="253" t="n">
        <x:v>-226.22</x:v>
      </x:c>
      <x:c r="F46" s="253" t="n">
        <x:v>-200</x:v>
      </x:c>
      <x:c r="G46" s="253" t="n">
        <x:v>-200</x:v>
      </x:c>
      <x:c r="H46" s="253" t="n">
        <x:v>-200</x:v>
      </x:c>
      <x:c r="I46" s="253" t="n">
        <x:v>-200</x:v>
      </x:c>
    </x:row>
    <x:row r="47" ht="19" customHeight="1">
      <x:c r="B47" s="22" t="str">
        <x:v>Minimum end-of-year cash, ₹ cr</x:v>
      </x:c>
      <x:c r="C47" s="228"/>
      <x:c r="D47" s="228"/>
      <x:c r="E47" s="253" t="n">
        <x:v>150</x:v>
      </x:c>
      <x:c r="F47" s="253" t="n">
        <x:v>150</x:v>
      </x:c>
      <x:c r="G47" s="253" t="n">
        <x:v>150</x:v>
      </x:c>
      <x:c r="H47" s="253" t="n">
        <x:v>150</x:v>
      </x:c>
      <x:c r="I47" s="253" t="n">
        <x:v>150</x:v>
      </x:c>
    </x:row>
    <x:row r="48" ht="19" customHeight="1">
      <x:c r="B48" s="22" t="str">
        <x:v>Diluted weighted shares (crore shares)</x:v>
      </x:c>
      <x:c r="C48" s="228"/>
      <x:c r="D48" s="228"/>
      <x:c r="E48" s="253" t="n">
        <x:v>1254</x:v>
      </x:c>
      <x:c r="F48" s="253" t="n">
        <x:v>1255</x:v>
      </x:c>
      <x:c r="G48" s="253" t="n">
        <x:v>1256</x:v>
      </x:c>
      <x:c r="H48" s="253" t="n">
        <x:v>1257</x:v>
      </x:c>
      <x:c r="I48" s="253" t="n">
        <x:v>1258</x:v>
      </x:c>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27" customHeight="1">
      <x:c r="B51" s="120" t="str">
        <x:v>FY27 cigarette ex-excise revenue = reported Q1 FY27 cigar net-of-excise proxy × 4 × (1 + 10% recovery adjustment). No public shipment data is assumed.</x:v>
      </x:c>
      <x:c r="C51" s="237"/>
      <x:c r="D51" s="237"/>
      <x:c r="E51" s="237"/>
      <x:c r="F51" s="237"/>
      <x:c r="G51" s="237"/>
      <x:c r="H51" s="237"/>
      <x:c r="I51" s="237"/>
    </x:row>
    <x:row r="52" ht="27" customHeight="1">
      <x:c r="B52" s="120" t="str">
        <x:v>Century FY27 incremental revenue ₹1,500cr is a proprietary scenario assumption, not disclosed FY27 guidance. Acquisition ₹3,498cr modeled only FY27 (completed Aug 2026).</x:v>
      </x:c>
      <x:c r="C52" s="237"/>
      <x:c r="D52" s="237"/>
      <x:c r="E52" s="237"/>
      <x:c r="F52" s="237"/>
      <x:c r="G52" s="237"/>
      <x:c r="H52" s="237"/>
      <x:c r="I52" s="237"/>
    </x:row>
    <x:row r="53" ht="27" customHeight="1">
      <x:c r="B53" s="120" t="str">
        <x:v>Excise-intensity row is a *booked excise-to-segment proxy*, not the legal central excise rate, GST rate or a tax per stick. It depends on prices and product mix.</x:v>
      </x:c>
      <x:c r="C53" s="237"/>
      <x:c r="D53" s="237"/>
      <x:c r="E53" s="237"/>
      <x:c r="F53" s="237"/>
      <x:c r="G53" s="237"/>
      <x:c r="H53" s="237"/>
      <x:c r="I53" s="237"/>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21" customHeight="1">
      <x:c r="B56" s="32" t="str">
        <x:v>GROUP-SUBSIDIARY ANALYST OVERLAY  •  NOT COMPANY GUIDANCE</x:v>
      </x:c>
      <x:c r="C56" s="256"/>
      <x:c r="D56" s="256"/>
      <x:c r="E56" s="256"/>
      <x:c r="F56" s="256"/>
      <x:c r="G56" s="256"/>
      <x:c r="H56" s="256"/>
      <x:c r="I56" s="256"/>
    </x:row>
    <x:row r="57" ht="19" customHeight="1">
      <x:c r="B57" s="22" t="str">
        <x:v>FY27 incremental group top-line Q1 run-rate premium</x:v>
      </x:c>
      <x:c r="C57" s="285"/>
      <x:c r="D57" s="285"/>
      <x:c r="E57" s="288" t="n">
        <x:v>0.02</x:v>
      </x:c>
      <x:c r="F57" s="288" t="n">
        <x:v>0</x:v>
      </x:c>
      <x:c r="G57" s="288" t="n">
        <x:v>0</x:v>
      </x:c>
      <x:c r="H57" s="288" t="n">
        <x:v>0</x:v>
      </x:c>
      <x:c r="I57" s="288" t="n">
        <x:v>0</x:v>
      </x:c>
    </x:row>
    <x:row r="58" ht="19" customHeight="1">
      <x:c r="B58" s="22" t="str">
        <x:v>Group-only increment revenue growth FY28+</x:v>
      </x:c>
      <x:c r="C58" s="285"/>
      <x:c r="D58" s="285"/>
      <x:c r="E58" s="288" t="n">
        <x:v>0</x:v>
      </x:c>
      <x:c r="F58" s="288" t="n">
        <x:v>0.1</x:v>
      </x:c>
      <x:c r="G58" s="288" t="n">
        <x:v>0.09</x:v>
      </x:c>
      <x:c r="H58" s="288" t="n">
        <x:v>0.08</x:v>
      </x:c>
      <x:c r="I58" s="288" t="n">
        <x:v>0.07</x:v>
      </x:c>
    </x:row>
    <x:row r="59" ht="19" customHeight="1">
      <x:c r="B59" s="22" t="str">
        <x:v>Incremental subsidiary excise growth FY28+</x:v>
      </x:c>
      <x:c r="C59" s="285"/>
      <x:c r="D59" s="285"/>
      <x:c r="E59" s="288" t="n">
        <x:v>0</x:v>
      </x:c>
      <x:c r="F59" s="288" t="n">
        <x:v>0.04</x:v>
      </x:c>
      <x:c r="G59" s="288" t="n">
        <x:v>0.04</x:v>
      </x:c>
      <x:c r="H59" s="288" t="n">
        <x:v>0.04</x:v>
      </x:c>
      <x:c r="I59" s="288" t="n">
        <x:v>0.04</x:v>
      </x:c>
    </x:row>
    <x:row r="60" ht="19" customHeight="1">
      <x:c r="B60" s="22" t="str">
        <x:v>Incremental subsidiary PBT pre associate, ₹ cr</x:v>
      </x:c>
      <x:c r="C60" s="228"/>
      <x:c r="D60" s="228"/>
      <x:c r="E60" s="253" t="n">
        <x:v>1600</x:v>
      </x:c>
      <x:c r="F60" s="253" t="n">
        <x:v>1750</x:v>
      </x:c>
      <x:c r="G60" s="253" t="n">
        <x:v>1910</x:v>
      </x:c>
      <x:c r="H60" s="253" t="n">
        <x:v>2070</x:v>
      </x:c>
      <x:c r="I60" s="253" t="n">
        <x:v>2230</x:v>
      </x:c>
    </x:row>
    <x:row r="61" ht="19" customHeight="1">
      <x:c r="B61" s="22" t="str">
        <x:v>Income from associates/JVs group, ₹ cr</x:v>
      </x:c>
      <x:c r="C61" s="228"/>
      <x:c r="D61" s="228"/>
      <x:c r="E61" s="253" t="n">
        <x:v>350</x:v>
      </x:c>
      <x:c r="F61" s="253" t="n">
        <x:v>375</x:v>
      </x:c>
      <x:c r="G61" s="253" t="n">
        <x:v>400</x:v>
      </x:c>
      <x:c r="H61" s="253" t="n">
        <x:v>425</x:v>
      </x:c>
      <x:c r="I61" s="253" t="n">
        <x:v>450</x:v>
      </x:c>
    </x:row>
    <x:row r="62" ht="19" customHeight="1">
      <x:c r="B62" s="22" t="str">
        <x:v>Net income allocable to minority, ₹ cr</x:v>
      </x:c>
      <x:c r="C62" s="228"/>
      <x:c r="D62" s="228"/>
      <x:c r="E62" s="253" t="n">
        <x:v>450</x:v>
      </x:c>
      <x:c r="F62" s="253" t="n">
        <x:v>480</x:v>
      </x:c>
      <x:c r="G62" s="253" t="n">
        <x:v>510</x:v>
      </x:c>
      <x:c r="H62" s="253" t="n">
        <x:v>540</x:v>
      </x:c>
      <x:c r="I62" s="253" t="n">
        <x:v>575</x:v>
      </x:c>
    </x:row>
    <x:row r="63" ht="19" customHeight="1">
      <x:c r="B63" s="22" t="str">
        <x:v>Tax rate on group-only incremental pre-tax profit</x:v>
      </x:c>
      <x:c r="C63" s="285"/>
      <x:c r="D63" s="285"/>
      <x:c r="E63" s="288" t="n">
        <x:v>0.252</x:v>
      </x:c>
      <x:c r="F63" s="288" t="n">
        <x:v>0.252</x:v>
      </x:c>
      <x:c r="G63" s="288" t="n">
        <x:v>0.252</x:v>
      </x:c>
      <x:c r="H63" s="288" t="n">
        <x:v>0.252</x:v>
      </x:c>
      <x:c r="I63" s="288" t="n">
        <x:v>0.252</x:v>
      </x:c>
    </x:row>
    <x:row r="64" ht="19" customHeight="1">
      <x:c r="B64" s="22"/>
      <x:c r="C64" s="228"/>
      <x:c r="D64" s="228"/>
      <x:c r="E64" s="228"/>
      <x:c r="F64" s="228"/>
      <x:c r="G64" s="228"/>
      <x:c r="H64" s="228"/>
      <x:c r="I64" s="228"/>
    </x:row>
    <x:row r="65" ht="27" customHeight="1">
      <x:c r="B65" s="120" t="str">
        <x:v>Consolidated overlay is a bridge, NOT a second complete group three-statement forecast. Business SOTP valuation in Task 3 will recognize minority and equity-accounted profits separately.</x:v>
      </x:c>
      <x:c r="C65" s="237"/>
      <x:c r="D65" s="237"/>
      <x:c r="E65" s="237"/>
      <x:c r="F65" s="237"/>
      <x:c r="G65" s="237"/>
      <x:c r="H65" s="237"/>
      <x:c r="I65" s="237"/>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7:I7"/>
    <x:mergeCell ref="B15:I15"/>
    <x:mergeCell ref="B18:I18"/>
    <x:mergeCell ref="B21:I21"/>
    <x:mergeCell ref="B25:I25"/>
    <x:mergeCell ref="B31:I31"/>
    <x:mergeCell ref="B36:I36"/>
    <x:mergeCell ref="B42:I42"/>
    <x:mergeCell ref="B51:I51"/>
    <x:mergeCell ref="B52:I52"/>
    <x:mergeCell ref="B53:I53"/>
    <x:mergeCell ref="B56:I56"/>
    <x:mergeCell ref="B65:I65"/>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BOTTOM-UP OPERATING SEGMENTS</x:v>
      </x:c>
      <x:c r="C2" s="4"/>
      <x:c r="D2" s="4"/>
      <x:c r="E2" s="4"/>
      <x:c r="F2" s="4"/>
      <x:c r="G2" s="4"/>
      <x:c r="H2" s="4"/>
      <x:c r="I2" s="4"/>
    </x:row>
    <x:row r="3" ht="23" customHeight="1">
      <x:c r="B3" s="9" t="str">
        <x:v>Gross cigarette sales = modeled ex-excise cigarette demand proxy + booked excise proxy; control for tax-accounting discontinuity.</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19" customHeight="1">
      <x:c r="B5" s="22"/>
      <x:c r="C5" s="228"/>
      <x:c r="D5" s="228"/>
      <x:c r="E5" s="228"/>
      <x:c r="F5" s="228"/>
      <x:c r="G5" s="228"/>
      <x:c r="H5" s="228"/>
      <x:c r="I5" s="228"/>
    </x:row>
    <x:row r="6" ht="21" customHeight="1">
      <x:c r="B6" s="32" t="str">
        <x:v>REVENUE BRIDGE / SEGMENT PBIT</x:v>
      </x:c>
      <x:c r="C6" s="229"/>
      <x:c r="D6" s="229"/>
      <x:c r="E6" s="229"/>
      <x:c r="F6" s="229"/>
      <x:c r="G6" s="229"/>
      <x:c r="H6" s="229"/>
      <x:c r="I6" s="229"/>
    </x:row>
    <x:row r="7" ht="19" customHeight="1">
      <x:c r="B7" s="22" t="str">
        <x:v>Cigarette revenue ex excise duty (proxy)</x:v>
      </x:c>
      <x:c r="C7" s="252" t="n">
        <x:f>Historic_Segments!C16</x:f>
        <x:v>27718.72</x:v>
      </x:c>
      <x:c r="D7" s="252" t="n">
        <x:f>Historic_Segments!D16</x:f>
        <x:v>27443.32</x:v>
      </x:c>
      <x:c r="E7" s="252" t="n">
        <x:f>Historic_Segments!E16*4*(1+Assumptions!E12+Scenarios!$F$8)</x:f>
        <x:v>23530.848</x:v>
      </x:c>
      <x:c r="F7" s="252" t="n">
        <x:f>E7*(1+Assumptions!F10+Scenarios!$F$16)*(1+Assumptions!F11)</x:f>
        <x:v>24559.146057600003</x:v>
      </x:c>
      <x:c r="G7" s="252" t="n">
        <x:f>F7*(1+Assumptions!G10+Scenarios!$F$16)*(1+Assumptions!G11)</x:f>
        <x:v>25893.93564583056</x:v>
      </x:c>
      <x:c r="H7" s="252" t="n">
        <x:f>G7*(1+Assumptions!H10+Scenarios!$F$16)*(1+Assumptions!H11)</x:f>
        <x:v>27447.571784580396</x:v>
      </x:c>
      <x:c r="I7" s="252" t="n">
        <x:f>H7*(1+Assumptions!I10+Scenarios!$F$16)*(1+Assumptions!I11)</x:f>
        <x:v>29094.42609165522</x:v>
      </x:c>
    </x:row>
    <x:row r="8" ht="19" customHeight="1">
      <x:c r="B8" s="22" t="str">
        <x:v>Booked cigarette excise (proxy)</x:v>
      </x:c>
      <x:c r="C8" s="252" t="n">
        <x:f>Historic_Segments!C15</x:f>
        <x:v>4912.55</x:v>
      </x:c>
      <x:c r="D8" s="252" t="n">
        <x:f>Historic_Segments!D15</x:f>
        <x:v>9656.33</x:v>
      </x:c>
      <x:c r="E8" s="252" t="n">
        <x:f>E7*(Assumptions!E13+Scenarios!$F$14)</x:f>
        <x:v>44237.99424</x:v>
      </x:c>
      <x:c r="F8" s="252" t="n">
        <x:f>F7*(Assumptions!F13+Scenarios!$F$14)</x:f>
        <x:v>46662.377509440004</x:v>
      </x:c>
      <x:c r="G8" s="252" t="n">
        <x:f>G7*(Assumptions!G13+Scenarios!$F$14)</x:f>
        <x:v>49716.35643999467</x:v>
      </x:c>
      <x:c r="H8" s="252" t="n">
        <x:f>H7*(Assumptions!H13+Scenarios!$F$14)</x:f>
        <x:v>53248.289262085964</x:v>
      </x:c>
      <x:c r="I8" s="252" t="n">
        <x:f>I7*(Assumptions!I13+Scenarios!$F$14)</x:f>
        <x:v>57025.07513964423</x:v>
      </x:c>
    </x:row>
    <x:row r="9" ht="22" customHeight="1">
      <x:c r="B9" s="96" t="str">
        <x:v>Cigarette gross segment revenue (inc excise)</x:v>
      </x:c>
      <x:c r="C9" s="258" t="n">
        <x:f>Historic_Segments!C7</x:f>
        <x:v>32631.27</x:v>
      </x:c>
      <x:c r="D9" s="258" t="n">
        <x:f>Historic_Segments!D7</x:f>
        <x:v>37099.65</x:v>
      </x:c>
      <x:c r="E9" s="250" t="n">
        <x:f>SUM(E7:E8)</x:f>
        <x:v>67768.84224</x:v>
      </x:c>
      <x:c r="F9" s="250" t="n">
        <x:f>SUM(F7:F8)</x:f>
        <x:v>71221.52356704001</x:v>
      </x:c>
      <x:c r="G9" s="250" t="n">
        <x:f>SUM(G7:G8)</x:f>
        <x:v>75610.29208582523</x:v>
      </x:c>
      <x:c r="H9" s="250" t="n">
        <x:f>SUM(H7:H8)</x:f>
        <x:v>80695.86104666637</x:v>
      </x:c>
      <x:c r="I9" s="250" t="n">
        <x:f>SUM(I7:I8)</x:f>
        <x:v>86119.50123129945</x:v>
      </x:c>
    </x:row>
    <x:row r="10" ht="19" customHeight="1">
      <x:c r="B10" s="22" t="str">
        <x:v>Cigarette PBIT / ex excise (diagnostic)</x:v>
      </x:c>
      <x:c r="C10" s="284" t="n">
        <x:f>C21/C7</x:f>
        <x:v>0.7224312666674363</x:v>
      </x:c>
      <x:c r="D10" s="284" t="n">
        <x:f>D21/D7</x:f>
        <x:v>0.7670762866883453</x:v>
      </x:c>
      <x:c r="E10" s="289" t="n">
        <x:f>Assumptions!E14+Scenarios!$F$9</x:f>
        <x:v>0.615</x:v>
      </x:c>
      <x:c r="F10" s="289" t="n">
        <x:f>Assumptions!F14+Scenarios!$F$9</x:f>
        <x:v>0.625</x:v>
      </x:c>
      <x:c r="G10" s="289" t="n">
        <x:f>Assumptions!G14+Scenarios!$F$9</x:f>
        <x:v>0.63</x:v>
      </x:c>
      <x:c r="H10" s="289" t="n">
        <x:f>Assumptions!H14+Scenarios!$F$9</x:f>
        <x:v>0.64</x:v>
      </x:c>
      <x:c r="I10" s="289" t="n">
        <x:f>Assumptions!I14+Scenarios!$F$9</x:f>
        <x:v>0.645</x:v>
      </x:c>
    </x:row>
    <x:row r="11" ht="19" customHeight="1">
      <x:c r="B11" s="22"/>
      <x:c r="C11" s="228"/>
      <x:c r="D11" s="228"/>
      <x:c r="E11" s="228"/>
      <x:c r="F11" s="228"/>
      <x:c r="G11" s="228"/>
      <x:c r="H11" s="228"/>
      <x:c r="I11" s="228"/>
    </x:row>
    <x:row r="12" ht="19" customHeight="1">
      <x:c r="B12" s="22" t="str">
        <x:v>FMCG Others turnover</x:v>
      </x:c>
      <x:c r="C12" s="252" t="n">
        <x:f>Historic_Segments!C8</x:f>
        <x:v>21981.57</x:v>
      </x:c>
      <x:c r="D12" s="252" t="n">
        <x:f>Historic_Segments!D8</x:f>
        <x:v>24209.75</x:v>
      </x:c>
      <x:c r="E12" s="252" t="n">
        <x:f>D12*(1+Assumptions!E16+Scenarios!$F$10)</x:f>
        <x:v>26872.822500000002</x:v>
      </x:c>
      <x:c r="F12" s="252" t="n">
        <x:f>E12*(1+Assumptions!F16+Scenarios!$F$10)</x:f>
        <x:v>29828.832975000005</x:v>
      </x:c>
      <x:c r="G12" s="252" t="n">
        <x:f>F12*(1+Assumptions!G16+Scenarios!$F$10)</x:f>
        <x:v>32811.71627250001</x:v>
      </x:c>
      <x:c r="H12" s="252" t="n">
        <x:f>G12*(1+Assumptions!H16+Scenarios!$F$10)</x:f>
        <x:v>35764.770737025014</x:v>
      </x:c>
      <x:c r="I12" s="252" t="n">
        <x:f>H12*(1+Assumptions!I16+Scenarios!$F$10)</x:f>
        <x:v>38625.95239598702</x:v>
      </x:c>
    </x:row>
    <x:row r="13" ht="19" customHeight="1">
      <x:c r="B13" s="22" t="str">
        <x:v>Agri Business turnover</x:v>
      </x:c>
      <x:c r="C13" s="252" t="n">
        <x:f>Historic_Segments!C9</x:f>
        <x:v>19753.8</x:v>
      </x:c>
      <x:c r="D13" s="252" t="n">
        <x:f>Historic_Segments!D9</x:f>
        <x:v>20296.4</x:v>
      </x:c>
      <x:c r="E13" s="252" t="n">
        <x:f>D13*(1+Assumptions!E19+Scenarios!$F$12)</x:f>
        <x:v>20905.292</x:v>
      </x:c>
      <x:c r="F13" s="252" t="n">
        <x:f>E13*(1+Assumptions!F19+Scenarios!$F$12)</x:f>
        <x:v>21950.556600000004</x:v>
      </x:c>
      <x:c r="G13" s="252" t="n">
        <x:f>F13*(1+Assumptions!G19+Scenarios!$F$12)</x:f>
        <x:v>23048.084430000006</x:v>
      </x:c>
      <x:c r="H13" s="252" t="n">
        <x:f>G13*(1+Assumptions!H19+Scenarios!$F$12)</x:f>
        <x:v>24200.488651500007</x:v>
      </x:c>
      <x:c r="I13" s="252" t="n">
        <x:f>H13*(1+Assumptions!I19+Scenarios!$F$12)</x:f>
        <x:v>25410.51308407501</x:v>
      </x:c>
    </x:row>
    <x:row r="14" ht="19" customHeight="1">
      <x:c r="B14" s="22" t="str">
        <x:v>Paperboards legacy turnover</x:v>
      </x:c>
      <x:c r="C14" s="252" t="n">
        <x:f>Historic_Segments!C10</x:f>
        <x:v>8422.81</x:v>
      </x:c>
      <x:c r="D14" s="252" t="n">
        <x:f>Historic_Segments!D10</x:f>
        <x:v>8765.61</x:v>
      </x:c>
      <x:c r="E14" s="252" t="n">
        <x:f>D14*(1+Assumptions!E22+Scenarios!$F$15)</x:f>
        <x:v>8940.9222</x:v>
      </x:c>
      <x:c r="F14" s="252" t="n">
        <x:f>E14*(1+Assumptions!F22+Scenarios!$F$15)</x:f>
        <x:v>9298.559088000002</x:v>
      </x:c>
      <x:c r="G14" s="252" t="n">
        <x:f>F14*(1+Assumptions!G22+Scenarios!$F$15)</x:f>
        <x:v>9763.487042400002</x:v>
      </x:c>
      <x:c r="H14" s="252" t="n">
        <x:f>G14*(1+Assumptions!H22+Scenarios!$F$15)</x:f>
        <x:v>10251.661394520002</x:v>
      </x:c>
      <x:c r="I14" s="252" t="n">
        <x:f>H14*(1+Assumptions!I22+Scenarios!$F$15)</x:f>
        <x:v>10764.244464246003</x:v>
      </x:c>
    </x:row>
    <x:row r="15" ht="19" customHeight="1">
      <x:c r="B15" s="22" t="str">
        <x:v>Century Pulp incremental turnover</x:v>
      </x:c>
      <x:c r="C15" s="232" t="n">
        <x:v>0</x:v>
      </x:c>
      <x:c r="D15" s="232" t="n">
        <x:v>0</x:v>
      </x:c>
      <x:c r="E15" s="252" t="n">
        <x:f>Assumptions!E23</x:f>
        <x:v>1500</x:v>
      </x:c>
      <x:c r="F15" s="252" t="n">
        <x:f>Assumptions!F23</x:f>
        <x:v>2300</x:v>
      </x:c>
      <x:c r="G15" s="252" t="n">
        <x:f>Assumptions!G23</x:f>
        <x:v>2500</x:v>
      </x:c>
      <x:c r="H15" s="252" t="n">
        <x:f>Assumptions!H23</x:f>
        <x:v>2600</x:v>
      </x:c>
      <x:c r="I15" s="252" t="n">
        <x:f>Assumptions!I23</x:f>
        <x:v>2700</x:v>
      </x:c>
    </x:row>
    <x:row r="16" ht="22" customHeight="1">
      <x:c r="B16" s="96" t="str">
        <x:v>Total paper segment turnover</x:v>
      </x:c>
      <x:c r="C16" s="250" t="n">
        <x:f>SUM(C14:C15)</x:f>
        <x:v>8422.81</x:v>
      </x:c>
      <x:c r="D16" s="250" t="n">
        <x:f>SUM(D14:D15)</x:f>
        <x:v>8765.61</x:v>
      </x:c>
      <x:c r="E16" s="250" t="n">
        <x:f>SUM(E14:E15)</x:f>
        <x:v>10440.9222</x:v>
      </x:c>
      <x:c r="F16" s="250" t="n">
        <x:f>SUM(F14:F15)</x:f>
        <x:v>11598.559088000002</x:v>
      </x:c>
      <x:c r="G16" s="250" t="n">
        <x:f>SUM(G14:G15)</x:f>
        <x:v>12263.487042400002</x:v>
      </x:c>
      <x:c r="H16" s="250" t="n">
        <x:f>SUM(H14:H15)</x:f>
        <x:v>12851.661394520002</x:v>
      </x:c>
      <x:c r="I16" s="250" t="n">
        <x:f>SUM(I14:I15)</x:f>
        <x:v>13464.244464246003</x:v>
      </x:c>
    </x:row>
    <x:row r="17" ht="19" customHeight="1">
      <x:c r="B17" s="22" t="str">
        <x:v>Other segment turnover</x:v>
      </x:c>
      <x:c r="C17" s="252" t="n">
        <x:f>Historic_Segments!C11</x:f>
        <x:v>167.37</x:v>
      </x:c>
      <x:c r="D17" s="252" t="n">
        <x:f>Historic_Segments!D11</x:f>
        <x:v>341.79</x:v>
      </x:c>
      <x:c r="E17" s="252" t="n">
        <x:f>D17*(1+Assumptions!E26)</x:f>
        <x:v>345.20790000000005</x:v>
      </x:c>
      <x:c r="F17" s="252" t="n">
        <x:f>E17*(1+Assumptions!F26)</x:f>
        <x:v>352.11205800000005</x:v>
      </x:c>
      <x:c r="G17" s="252" t="n">
        <x:f>F17*(1+Assumptions!G26)</x:f>
        <x:v>359.15429916000005</x:v>
      </x:c>
      <x:c r="H17" s="252" t="n">
        <x:f>G17*(1+Assumptions!H26)</x:f>
        <x:v>366.33738514320004</x:v>
      </x:c>
      <x:c r="I17" s="252" t="n">
        <x:f>H17*(1+Assumptions!I26)</x:f>
        <x:v>373.66413284606404</x:v>
      </x:c>
    </x:row>
    <x:row r="18" ht="22" customHeight="1">
      <x:c r="B18" s="96" t="str">
        <x:v>TOTAL SEGMENT TURNOVER</x:v>
      </x:c>
      <x:c r="C18" s="258" t="n">
        <x:f>Historic_Segments!C12</x:f>
        <x:v>82956.81999999999</x:v>
      </x:c>
      <x:c r="D18" s="258" t="n">
        <x:f>Historic_Segments!D12</x:f>
        <x:v>90713.2</x:v>
      </x:c>
      <x:c r="E18" s="250" t="n">
        <x:f>SUM(E9,E12:E13,E16:E17)</x:f>
        <x:v>126333.08683999999</x:v>
      </x:c>
      <x:c r="F18" s="250" t="n">
        <x:f>SUM(F9,F12:F13,F16:F17)</x:f>
        <x:v>134951.58428804003</x:v>
      </x:c>
      <x:c r="G18" s="250" t="n">
        <x:f>SUM(G9,G12:G13,G16:G17)</x:f>
        <x:v>144092.73412988524</x:v>
      </x:c>
      <x:c r="H18" s="250" t="n">
        <x:f>SUM(H9,H12:H13,H16:H17)</x:f>
        <x:v>153879.11921485458</x:v>
      </x:c>
      <x:c r="I18" s="250" t="n">
        <x:f>SUM(I9,I12:I13,I16:I17)</x:f>
        <x:v>163993.87530845354</x:v>
      </x:c>
    </x:row>
    <x:row r="19" ht="19" customHeight="1">
      <x:c r="B19" s="22" t="str">
        <x:v>Inter-segment revenue eliminated</x:v>
      </x:c>
      <x:c r="C19" s="252" t="n">
        <x:f>Historic_Segments!C13</x:f>
        <x:v>9492.27</x:v>
      </x:c>
      <x:c r="D19" s="252" t="n">
        <x:f>Historic_Segments!D13</x:f>
        <x:v>9845.71</x:v>
      </x:c>
      <x:c r="E19" s="252" t="n">
        <x:f>E18*Assumptions!E29</x:f>
        <x:v>18318.297591799997</x:v>
      </x:c>
      <x:c r="F19" s="252" t="n">
        <x:f>F18*Assumptions!F29</x:f>
        <x:v>19567.9797217658</x:v>
      </x:c>
      <x:c r="G19" s="252" t="n">
        <x:f>G18*Assumptions!G29</x:f>
        <x:v>20893.446448833358</x:v>
      </x:c>
      <x:c r="H19" s="252" t="n">
        <x:f>H18*Assumptions!H29</x:f>
        <x:v>22312.472286153912</x:v>
      </x:c>
      <x:c r="I19" s="252" t="n">
        <x:f>I18*Assumptions!I29</x:f>
        <x:v>23779.11191972576</x:v>
      </x:c>
    </x:row>
    <x:row r="20" ht="22" customHeight="1">
      <x:c r="B20" s="108" t="str">
        <x:v>GROSS PRODUCT REVENUE</x:v>
      </x:c>
      <x:c r="C20" s="259" t="n">
        <x:f>Historic_Segments!C14</x:f>
        <x:v>73464.54999999999</x:v>
      </x:c>
      <x:c r="D20" s="259" t="n">
        <x:f>Historic_Segments!D14</x:f>
        <x:v>80867.48999999999</x:v>
      </x:c>
      <x:c r="E20" s="233" t="n">
        <x:f>E18-E19</x:f>
        <x:v>108014.78924819999</x:v>
      </x:c>
      <x:c r="F20" s="233" t="n">
        <x:f>F18-F19</x:f>
        <x:v>115383.60456627423</x:v>
      </x:c>
      <x:c r="G20" s="233" t="n">
        <x:f>G18-G19</x:f>
        <x:v>123199.28768105188</x:v>
      </x:c>
      <x:c r="H20" s="233" t="n">
        <x:f>H18-H19</x:f>
        <x:v>131566.64692870068</x:v>
      </x:c>
      <x:c r="I20" s="233" t="n">
        <x:f>I18-I19</x:f>
        <x:v>140214.7633887278</x:v>
      </x:c>
    </x:row>
    <x:row r="21" ht="19" customHeight="1">
      <x:c r="B21" s="22" t="str">
        <x:v>Cigarettes PBIT</x:v>
      </x:c>
      <x:c r="C21" s="252" t="n">
        <x:f>Historic_Segments!C19</x:f>
        <x:v>20024.87</x:v>
      </x:c>
      <x:c r="D21" s="252" t="n">
        <x:f>Historic_Segments!D19</x:f>
        <x:v>21051.12</x:v>
      </x:c>
      <x:c r="E21" s="235" t="n">
        <x:f>E7*E10</x:f>
        <x:v>14471.471520000001</x:v>
      </x:c>
      <x:c r="F21" s="235" t="n">
        <x:f>F7*F10</x:f>
        <x:v>15349.466286000003</x:v>
      </x:c>
      <x:c r="G21" s="235" t="n">
        <x:f>G7*G10</x:f>
        <x:v>16313.179456873253</x:v>
      </x:c>
      <x:c r="H21" s="235" t="n">
        <x:f>H7*H10</x:f>
        <x:v>17566.445942131453</x:v>
      </x:c>
      <x:c r="I21" s="235" t="n">
        <x:f>I7*I10</x:f>
        <x:v>18765.90482911762</x:v>
      </x:c>
    </x:row>
    <x:row r="22" ht="19" customHeight="1">
      <x:c r="B22" s="22" t="str">
        <x:v>FMCG Others PBIT</x:v>
      </x:c>
      <x:c r="C22" s="252" t="n">
        <x:f>Historic_Segments!C20</x:f>
        <x:v>1579.66</x:v>
      </x:c>
      <x:c r="D22" s="252" t="n">
        <x:f>Historic_Segments!D20</x:f>
        <x:v>1802.63</x:v>
      </x:c>
      <x:c r="E22" s="252" t="n">
        <x:f>E12*(Assumptions!E17+Scenarios!$F$11)</x:f>
        <x:v>2284.1899125000004</x:v>
      </x:c>
      <x:c r="F22" s="252" t="n">
        <x:f>F12*(Assumptions!F17+Scenarios!$F$11)</x:f>
        <x:v>2744.2526337000004</x:v>
      </x:c>
      <x:c r="G22" s="252" t="n">
        <x:f>G12*(Assumptions!G17+Scenarios!$F$11)</x:f>
        <x:v>3215.548194705001</x:v>
      </x:c>
      <x:c r="H22" s="252" t="n">
        <x:f>H12*(Assumptions!H17+Scenarios!$F$11)</x:f>
        <x:v>3719.5361566506012</x:v>
      </x:c>
      <x:c r="I22" s="252" t="n">
        <x:f>I12*(Assumptions!I17+Scenarios!$F$11)</x:f>
        <x:v>4248.854763558572</x:v>
      </x:c>
    </x:row>
    <x:row r="23" ht="19" customHeight="1">
      <x:c r="B23" s="22" t="str">
        <x:v>Agri Business PBIT</x:v>
      </x:c>
      <x:c r="C23" s="252" t="n">
        <x:f>Historic_Segments!C21</x:f>
        <x:v>1478.03</x:v>
      </x:c>
      <x:c r="D23" s="252" t="n">
        <x:f>Historic_Segments!D21</x:f>
        <x:v>1496.46</x:v>
      </x:c>
      <x:c r="E23" s="252" t="n">
        <x:f>E13*Assumptions!E20</x:f>
        <x:v>1463.3704400000001</x:v>
      </x:c>
      <x:c r="F23" s="252" t="n">
        <x:f>F13*Assumptions!F20</x:f>
        <x:v>1580.4400752000001</x:v>
      </x:c>
      <x:c r="G23" s="252" t="n">
        <x:f>G13*Assumptions!G20</x:f>
        <x:v>1705.5582478200004</x:v>
      </x:c>
      <x:c r="H23" s="252" t="n">
        <x:f>H13*Assumptions!H20</x:f>
        <x:v>1815.0366488625004</x:v>
      </x:c>
      <x:c r="I23" s="252" t="n">
        <x:f>I13*Assumptions!I20</x:f>
        <x:v>1905.7884813056257</x:v>
      </x:c>
    </x:row>
    <x:row r="24" ht="19" customHeight="1">
      <x:c r="B24" s="22" t="str">
        <x:v>Paperboards PBIT</x:v>
      </x:c>
      <x:c r="C24" s="252" t="n">
        <x:f>Historic_Segments!C22</x:f>
        <x:v>911.49</x:v>
      </x:c>
      <x:c r="D24" s="252" t="n">
        <x:f>Historic_Segments!D22</x:f>
        <x:v>796.71</x:v>
      </x:c>
      <x:c r="E24" s="252" t="n">
        <x:f>E16*(Assumptions!E24+Scenarios!$F$13)</x:f>
        <x:v>783.069165</x:v>
      </x:c>
      <x:c r="F24" s="252" t="n">
        <x:f>F16*(Assumptions!F24+Scenarios!$F$13)</x:f>
        <x:v>927.8847270400001</x:v>
      </x:c>
      <x:c r="G24" s="252" t="n">
        <x:f>G16*(Assumptions!G24+Scenarios!$F$13)</x:f>
        <x:v>1030.1329115616002</x:v>
      </x:c>
      <x:c r="H24" s="252" t="n">
        <x:f>H16*(Assumptions!H24+Scenarios!$F$13)</x:f>
        <x:v>1130.9462027177601</x:v>
      </x:c>
      <x:c r="I24" s="252" t="n">
        <x:f>I16*(Assumptions!I24+Scenarios!$F$13)</x:f>
        <x:v>1211.7820017821402</x:v>
      </x:c>
    </x:row>
    <x:row r="25" ht="19" customHeight="1">
      <x:c r="B25" s="22" t="str">
        <x:v>Other PBIT</x:v>
      </x:c>
      <x:c r="C25" s="252" t="n">
        <x:f>Historic_Segments!C23</x:f>
        <x:v>64.02</x:v>
      </x:c>
      <x:c r="D25" s="252" t="n">
        <x:f>Historic_Segments!D23</x:f>
        <x:v>-8.06</x:v>
      </x:c>
      <x:c r="E25" s="252" t="n">
        <x:f>E17*Assumptions!E27</x:f>
        <x:v>0</x:v>
      </x:c>
      <x:c r="F25" s="252" t="n">
        <x:f>F17*Assumptions!F27</x:f>
        <x:v>0</x:v>
      </x:c>
      <x:c r="G25" s="252" t="n">
        <x:f>G17*Assumptions!G27</x:f>
        <x:v>0</x:v>
      </x:c>
      <x:c r="H25" s="252" t="n">
        <x:f>H17*Assumptions!H27</x:f>
        <x:v>0</x:v>
      </x:c>
      <x:c r="I25" s="252" t="n">
        <x:f>I17*Assumptions!I27</x:f>
        <x:v>0</x:v>
      </x:c>
    </x:row>
    <x:row r="26" ht="22" customHeight="1">
      <x:c r="B26" s="108" t="str">
        <x:v>TOTAL SEGMENT PBIT</x:v>
      </x:c>
      <x:c r="C26" s="259" t="n">
        <x:f>Historic_Segments!C24</x:f>
        <x:v>24058.07</x:v>
      </x:c>
      <x:c r="D26" s="259" t="n">
        <x:f>Historic_Segments!D24</x:f>
        <x:v>25138.859999999997</x:v>
      </x:c>
      <x:c r="E26" s="233" t="n">
        <x:f>SUM(E21:E25)</x:f>
        <x:v>19002.1010375</x:v>
      </x:c>
      <x:c r="F26" s="233" t="n">
        <x:f>SUM(F21:F25)</x:f>
        <x:v>20602.043721940005</x:v>
      </x:c>
      <x:c r="G26" s="233" t="n">
        <x:f>SUM(G21:G25)</x:f>
        <x:v>22264.418810959854</x:v>
      </x:c>
      <x:c r="H26" s="233" t="n">
        <x:f>SUM(H21:H25)</x:f>
        <x:v>24231.964950362315</x:v>
      </x:c>
      <x:c r="I26" s="233" t="n">
        <x:f>SUM(I21:I25)</x:f>
        <x:v>26132.330075763955</x:v>
      </x:c>
    </x:row>
    <x:row r="27" ht="19" customHeight="1">
      <x:c r="B27" s="22"/>
      <x:c r="C27" s="228"/>
      <x:c r="D27" s="228"/>
      <x:c r="E27" s="228"/>
      <x:c r="F27" s="228"/>
      <x:c r="G27" s="228"/>
      <x:c r="H27" s="228"/>
      <x:c r="I27" s="228"/>
    </x:row>
    <x:row r="28" ht="19" customHeight="1">
      <x:c r="B28" s="22" t="str">
        <x:v>Other operating revenue</x:v>
      </x:c>
      <x:c r="C28" s="252" t="n">
        <x:f>Historic_IS!C9</x:f>
        <x:v>771.52</x:v>
      </x:c>
      <x:c r="D28" s="252" t="n">
        <x:f>Historic_IS!D9</x:f>
        <x:v>772.62</x:v>
      </x:c>
      <x:c r="E28" s="252" t="n">
        <x:f>E20*Assumptions!E30</x:f>
        <x:v>864.1183139855999</x:v>
      </x:c>
      <x:c r="F28" s="252" t="n">
        <x:f>F20*Assumptions!F30</x:f>
        <x:v>923.0688365301938</x:v>
      </x:c>
      <x:c r="G28" s="252" t="n">
        <x:f>G20*Assumptions!G30</x:f>
        <x:v>985.5943014484151</x:v>
      </x:c>
      <x:c r="H28" s="252" t="n">
        <x:f>H20*Assumptions!H30</x:f>
        <x:v>1052.5331754296055</x:v>
      </x:c>
      <x:c r="I28" s="252" t="n">
        <x:f>I20*Assumptions!I30</x:f>
        <x:v>1121.7181071098223</x:v>
      </x:c>
    </x:row>
    <x:row r="29" ht="22" customHeight="1">
      <x:c r="B29" s="96" t="str">
        <x:v>REPORTED REVENUE FROM OPERATIONS</x:v>
      </x:c>
      <x:c r="C29" s="258" t="n">
        <x:f>Historic_IS!C7</x:f>
        <x:v>74236.07</x:v>
      </x:c>
      <x:c r="D29" s="258" t="n">
        <x:f>Historic_IS!D7</x:f>
        <x:v>81640.11</x:v>
      </x:c>
      <x:c r="E29" s="250" t="n">
        <x:f>SUM(E20,E28)</x:f>
        <x:v>108878.90756218559</x:v>
      </x:c>
      <x:c r="F29" s="250" t="n">
        <x:f>SUM(F20,F28)</x:f>
        <x:v>116306.67340280442</x:v>
      </x:c>
      <x:c r="G29" s="250" t="n">
        <x:f>SUM(G20,G28)</x:f>
        <x:v>124184.8819825003</x:v>
      </x:c>
      <x:c r="H29" s="250" t="n">
        <x:f>SUM(H20,H28)</x:f>
        <x:v>132619.18010413027</x:v>
      </x:c>
      <x:c r="I29" s="250" t="n">
        <x:f>SUM(I20,I28)</x:f>
        <x:v>141336.48149583762</x:v>
      </x:c>
    </x:row>
    <x:row r="30" ht="19" customHeight="1">
      <x:c r="B30" s="22" t="str">
        <x:v>Less statutory excise duty</x:v>
      </x:c>
      <x:c r="C30" s="252" t="n">
        <x:f>Historic_IS!C10</x:f>
        <x:v>4912.55</x:v>
      </x:c>
      <x:c r="D30" s="252" t="n">
        <x:f>Historic_IS!D10</x:f>
        <x:v>9656.33</x:v>
      </x:c>
      <x:c r="E30" s="235" t="n">
        <x:f>E8</x:f>
        <x:v>44237.99424</x:v>
      </x:c>
      <x:c r="F30" s="235" t="n">
        <x:f>F8</x:f>
        <x:v>46662.377509440004</x:v>
      </x:c>
      <x:c r="G30" s="235" t="n">
        <x:f>G8</x:f>
        <x:v>49716.35643999467</x:v>
      </x:c>
      <x:c r="H30" s="235" t="n">
        <x:f>H8</x:f>
        <x:v>53248.289262085964</x:v>
      </x:c>
      <x:c r="I30" s="235" t="n">
        <x:f>I8</x:f>
        <x:v>57025.07513964423</x:v>
      </x:c>
    </x:row>
    <x:row r="31" ht="22" customHeight="1">
      <x:c r="B31" s="108" t="str">
        <x:v>NET REVENUE AFTER EXCISE</x:v>
      </x:c>
      <x:c r="C31" s="233" t="n">
        <x:f>C29-C30</x:f>
        <x:v>69323.52</x:v>
      </x:c>
      <x:c r="D31" s="233" t="n">
        <x:f>D29-D30</x:f>
        <x:v>71983.78</x:v>
      </x:c>
      <x:c r="E31" s="233" t="n">
        <x:f>E29-E30</x:f>
        <x:v>64640.91332218559</x:v>
      </x:c>
      <x:c r="F31" s="233" t="n">
        <x:f>F29-F30</x:f>
        <x:v>69644.29589336441</x:v>
      </x:c>
      <x:c r="G31" s="233" t="n">
        <x:f>G29-G30</x:f>
        <x:v>74468.52554250564</x:v>
      </x:c>
      <x:c r="H31" s="233" t="n">
        <x:f>H29-H30</x:f>
        <x:v>79370.8908420443</x:v>
      </x:c>
      <x:c r="I31" s="233" t="n">
        <x:f>I29-I30</x:f>
        <x:v>84311.40635619339</x:v>
      </x:c>
    </x:row>
    <x:row r="32" ht="21" customHeight="1">
      <x:c r="B32" s="32" t="str">
        <x:v>FINANCIAL DIAGNOSTICS</x:v>
      </x:c>
      <x:c r="C32" s="229"/>
      <x:c r="D32" s="229"/>
      <x:c r="E32" s="229"/>
      <x:c r="F32" s="229"/>
      <x:c r="G32" s="229"/>
      <x:c r="H32" s="229"/>
      <x:c r="I32" s="229"/>
    </x:row>
    <x:row r="33" ht="19" customHeight="1">
      <x:c r="B33" s="22" t="str">
        <x:v>Ex-excise cigarette revenue growth</x:v>
      </x:c>
      <x:c r="C33" s="285"/>
      <x:c r="D33" s="285"/>
      <x:c r="E33" s="284" t="n">
        <x:f>IFERROR(E7/D7-1,0)</x:f>
        <x:v>-0.14256554964924062</x:v>
      </x:c>
      <x:c r="F33" s="284" t="n">
        <x:f>IFERROR(F7/E7-1,0)</x:f>
        <x:v>0.04370000000000007</x:v>
      </x:c>
      <x:c r="G33" s="284" t="n">
        <x:f>IFERROR(G7/F7-1,0)</x:f>
        <x:v>0.0543499999999999</x:v>
      </x:c>
      <x:c r="H33" s="284" t="n">
        <x:f>IFERROR(H7/G7-1,0)</x:f>
        <x:v>0.06000000000000005</x:v>
      </x:c>
      <x:c r="I33" s="284" t="n">
        <x:f>IFERROR(I7/H7-1,0)</x:f>
        <x:v>0.06000000000000005</x:v>
      </x:c>
    </x:row>
    <x:row r="34" ht="19" customHeight="1">
      <x:c r="B34" s="22" t="str">
        <x:v>FMCG growth</x:v>
      </x:c>
      <x:c r="C34" s="285"/>
      <x:c r="D34" s="285"/>
      <x:c r="E34" s="284" t="n">
        <x:f>IFERROR(E12/D12-1,0)</x:f>
        <x:v>0.1100000000000001</x:v>
      </x:c>
      <x:c r="F34" s="284" t="n">
        <x:f>IFERROR(F12/E12-1,0)</x:f>
        <x:v>0.1100000000000001</x:v>
      </x:c>
      <x:c r="G34" s="284" t="n">
        <x:f>IFERROR(G12/F12-1,0)</x:f>
        <x:v>0.10000000000000009</x:v>
      </x:c>
      <x:c r="H34" s="284" t="n">
        <x:f>IFERROR(H12/G12-1,0)</x:f>
        <x:v>0.09000000000000008</x:v>
      </x:c>
      <x:c r="I34" s="284" t="n">
        <x:f>IFERROR(I12/H12-1,0)</x:f>
        <x:v>0.08000000000000007</x:v>
      </x:c>
    </x:row>
    <x:row r="35" ht="19" customHeight="1">
      <x:c r="B35" s="22" t="str">
        <x:v>Paper including acquired entity growth</x:v>
      </x:c>
      <x:c r="C35" s="285"/>
      <x:c r="D35" s="285"/>
      <x:c r="E35" s="284" t="n">
        <x:f>IFERROR(E16/D16-1,0)</x:f>
        <x:v>0.19112328748370055</x:v>
      </x:c>
      <x:c r="F35" s="284" t="n">
        <x:f>IFERROR(F16/E16-1,0)</x:f>
        <x:v>0.1108749654316934</x:v>
      </x:c>
      <x:c r="G35" s="284" t="n">
        <x:f>IFERROR(G16/F16-1,0)</x:f>
        <x:v>0.05732849652746452</x:v>
      </x:c>
      <x:c r="H35" s="284" t="n">
        <x:f>IFERROR(H16/G16-1,0)</x:f>
        <x:v>0.047961428106576554</x:v>
      </x:c>
      <x:c r="I35" s="284" t="n">
        <x:f>IFERROR(I16/H16-1,0)</x:f>
        <x:v>0.04766567145841605</x:v>
      </x:c>
    </x:row>
    <x:row r="36" ht="19" customHeight="1">
      <x:c r="B36" s="22" t="str">
        <x:v>Total revenue net of excise growth</x:v>
      </x:c>
      <x:c r="C36" s="285"/>
      <x:c r="D36" s="285"/>
      <x:c r="E36" s="284" t="n">
        <x:f>IFERROR(E31/D31-1,0)</x:f>
        <x:v>-0.10200723937829348</x:v>
      </x:c>
      <x:c r="F36" s="284" t="n">
        <x:f>IFERROR(F31/E31-1,0)</x:f>
        <x:v>0.07740272087804168</x:v>
      </x:c>
      <x:c r="G36" s="284" t="n">
        <x:f>IFERROR(G31/F31-1,0)</x:f>
        <x:v>0.06926955879527918</x:v>
      </x:c>
      <x:c r="H36" s="284" t="n">
        <x:f>IFERROR(H31/G31-1,0)</x:f>
        <x:v>0.06583137323889221</x:v>
      </x:c>
      <x:c r="I36" s="284" t="n">
        <x:f>IFERROR(I31/H31-1,0)</x:f>
        <x:v>0.062245937543792706</x:v>
      </x:c>
    </x:row>
    <x:row r="37" ht="19" customHeight="1">
      <x:c r="B37" s="22"/>
      <x:c r="C37" s="228"/>
      <x:c r="D37" s="228"/>
      <x:c r="E37" s="228"/>
      <x:c r="F37" s="228"/>
      <x:c r="G37" s="228"/>
      <x:c r="H37" s="228"/>
      <x:c r="I37" s="228"/>
    </x:row>
    <x:row r="38" ht="19" customHeight="1">
      <x:c r="B38" s="22" t="str">
        <x:v>FY27 cigarette ex-excise Q1 annualised</x:v>
      </x:c>
      <x:c r="C38" s="228"/>
      <x:c r="D38" s="228"/>
      <x:c r="E38" s="252" t="n">
        <x:f>Historic_Segments!E16*4</x:f>
        <x:v>21391.68</x:v>
      </x:c>
      <x:c r="F38" s="228"/>
      <x:c r="G38" s="228"/>
      <x:c r="H38" s="228"/>
      <x:c r="I38" s="228"/>
    </x:row>
    <x:row r="39" ht="19" customHeight="1">
      <x:c r="B39" s="22" t="str">
        <x:v>FY27 full-year / annualised Q1 cigarette net</x:v>
      </x:c>
      <x:c r="C39" s="285"/>
      <x:c r="D39" s="285"/>
      <x:c r="E39" s="284" t="n">
        <x:f>IFERROR(E7/E38,0)</x:f>
        <x:v>1.1</x:v>
      </x:c>
      <x:c r="F39" s="285"/>
      <x:c r="G39" s="285"/>
      <x:c r="H39" s="285"/>
      <x:c r="I39" s="285"/>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27" customHeight="1">
      <x:c r="B42" s="120" t="str">
        <x:v>Model treats booked excise duty as a separate expense and strips it from recurring sales to prevent artificial tax-led revenue growth. Cigarette PBIT is estimated from ex-excise revenue × margin.</x:v>
      </x:c>
      <x:c r="C42" s="237"/>
      <x:c r="D42" s="237"/>
      <x:c r="E42" s="237"/>
      <x:c r="F42" s="237"/>
      <x:c r="G42" s="237"/>
      <x:c r="H42" s="237"/>
      <x:c r="I42" s="237"/>
    </x:row>
    <x:row r="43" ht="27" customHeight="1">
      <x:c r="B43" s="120" t="str">
        <x:v>FY27 cigarette PBIT forecast starts with unaudited Q1 FY27 revenues. Group forecasts remain standalone; proposed Happiest Minds transaction is excluded from operating numbers.</x:v>
      </x:c>
      <x:c r="C43" s="237"/>
      <x:c r="D43" s="237"/>
      <x:c r="E43" s="237"/>
      <x:c r="F43" s="237"/>
      <x:c r="G43" s="237"/>
      <x:c r="H43" s="237"/>
      <x:c r="I43" s="237"/>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19" customHeight="1">
      <x:c r="B48" s="22"/>
      <x:c r="C48" s="228"/>
      <x:c r="D48" s="228"/>
      <x:c r="E48" s="228"/>
      <x:c r="F48" s="228"/>
      <x:c r="G48" s="228"/>
      <x:c r="H48" s="228"/>
      <x:c r="I48" s="22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32:I32"/>
    <x:mergeCell ref="B42:I42"/>
    <x:mergeCell ref="B43:I43"/>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INTEGRATED STANDALONE PROFIT &amp; LOSS</x:v>
      </x:c>
      <x:c r="C2" s="4"/>
      <x:c r="D2" s="4"/>
      <x:c r="E2" s="4"/>
      <x:c r="F2" s="4"/>
      <x:c r="G2" s="4"/>
      <x:c r="H2" s="4"/>
      <x:c r="I2" s="4"/>
    </x:row>
    <x:row r="3" ht="23" customHeight="1">
      <x:c r="B3" s="9" t="str">
        <x:v>FY25–FY26 sourced actuals; FY27E–FY31E formula-linked to operating segment model and analyst assumptions.</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19" customHeight="1">
      <x:c r="B5" s="22"/>
      <x:c r="C5" s="228"/>
      <x:c r="D5" s="228"/>
      <x:c r="E5" s="228"/>
      <x:c r="F5" s="228"/>
      <x:c r="G5" s="228"/>
      <x:c r="H5" s="228"/>
      <x:c r="I5" s="228"/>
    </x:row>
    <x:row r="6" ht="21" customHeight="1">
      <x:c r="B6" s="32" t="str">
        <x:v>FY25–FY31 STANDALONE EARNINGS</x:v>
      </x:c>
      <x:c r="C6" s="229"/>
      <x:c r="D6" s="229"/>
      <x:c r="E6" s="229"/>
      <x:c r="F6" s="229"/>
      <x:c r="G6" s="229"/>
      <x:c r="H6" s="229"/>
      <x:c r="I6" s="229"/>
    </x:row>
    <x:row r="7" ht="19" customHeight="1">
      <x:c r="B7" s="22" t="str">
        <x:v>Revenue from operations (gross incl booked excise)</x:v>
      </x:c>
      <x:c r="C7" s="252" t="n">
        <x:f>Historic_IS!C7</x:f>
        <x:v>74236.07</x:v>
      </x:c>
      <x:c r="D7" s="252" t="n">
        <x:f>Historic_IS!D7</x:f>
        <x:v>81640.11</x:v>
      </x:c>
      <x:c r="E7" s="252" t="n">
        <x:f>Segments!E29</x:f>
        <x:v>108878.90756218559</x:v>
      </x:c>
      <x:c r="F7" s="252" t="n">
        <x:f>Segments!F29</x:f>
        <x:v>116306.67340280442</x:v>
      </x:c>
      <x:c r="G7" s="252" t="n">
        <x:f>Segments!G29</x:f>
        <x:v>124184.8819825003</x:v>
      </x:c>
      <x:c r="H7" s="252" t="n">
        <x:f>Segments!H29</x:f>
        <x:v>132619.18010413027</x:v>
      </x:c>
      <x:c r="I7" s="252" t="n">
        <x:f>Segments!I29</x:f>
        <x:v>141336.48149583762</x:v>
      </x:c>
    </x:row>
    <x:row r="8" ht="22" customHeight="1">
      <x:c r="B8" s="108" t="str">
        <x:v>REVENUE NET OF EXCISE</x:v>
      </x:c>
      <x:c r="C8" s="259" t="n">
        <x:f>Historic_IS!C11</x:f>
        <x:v>69323.52</x:v>
      </x:c>
      <x:c r="D8" s="259" t="n">
        <x:f>Historic_IS!D11</x:f>
        <x:v>71983.78</x:v>
      </x:c>
      <x:c r="E8" s="259" t="n">
        <x:f>Segments!E31</x:f>
        <x:v>64640.91332218559</x:v>
      </x:c>
      <x:c r="F8" s="259" t="n">
        <x:f>Segments!F31</x:f>
        <x:v>69644.29589336441</x:v>
      </x:c>
      <x:c r="G8" s="259" t="n">
        <x:f>Segments!G31</x:f>
        <x:v>74468.52554250564</x:v>
      </x:c>
      <x:c r="H8" s="259" t="n">
        <x:f>Segments!H31</x:f>
        <x:v>79370.8908420443</x:v>
      </x:c>
      <x:c r="I8" s="259" t="n">
        <x:f>Segments!I31</x:f>
        <x:v>84311.40635619339</x:v>
      </x:c>
    </x:row>
    <x:row r="9" ht="19" customHeight="1">
      <x:c r="B9" s="22" t="str">
        <x:v>Reported excise duty expense</x:v>
      </x:c>
      <x:c r="C9" s="252" t="n">
        <x:f>Historic_IS!C10</x:f>
        <x:v>4912.55</x:v>
      </x:c>
      <x:c r="D9" s="252" t="n">
        <x:f>Historic_IS!D10</x:f>
        <x:v>9656.33</x:v>
      </x:c>
      <x:c r="E9" s="252" t="n">
        <x:f>Segments!E30</x:f>
        <x:v>44237.99424</x:v>
      </x:c>
      <x:c r="F9" s="252" t="n">
        <x:f>Segments!F30</x:f>
        <x:v>46662.377509440004</x:v>
      </x:c>
      <x:c r="G9" s="252" t="n">
        <x:f>Segments!G30</x:f>
        <x:v>49716.35643999467</x:v>
      </x:c>
      <x:c r="H9" s="252" t="n">
        <x:f>Segments!H30</x:f>
        <x:v>53248.289262085964</x:v>
      </x:c>
      <x:c r="I9" s="252" t="n">
        <x:f>Segments!I30</x:f>
        <x:v>57025.07513964423</x:v>
      </x:c>
    </x:row>
    <x:row r="10" ht="19" customHeight="1">
      <x:c r="B10" s="22" t="str">
        <x:v>Net revenue growth (% yoy)</x:v>
      </x:c>
      <x:c r="C10" s="285"/>
      <x:c r="D10" s="284" t="n">
        <x:f>IFERROR(D8/C8-1,0)</x:f>
        <x:v>0.038374566092431506</x:v>
      </x:c>
      <x:c r="E10" s="284" t="n">
        <x:f>IFERROR(E8/D8-1,0)</x:f>
        <x:v>-0.10200723937829348</x:v>
      </x:c>
      <x:c r="F10" s="284" t="n">
        <x:f>IFERROR(F8/E8-1,0)</x:f>
        <x:v>0.07740272087804168</x:v>
      </x:c>
      <x:c r="G10" s="284" t="n">
        <x:f>IFERROR(G8/F8-1,0)</x:f>
        <x:v>0.06926955879527918</x:v>
      </x:c>
      <x:c r="H10" s="284" t="n">
        <x:f>IFERROR(H8/G8-1,0)</x:f>
        <x:v>0.06583137323889221</x:v>
      </x:c>
      <x:c r="I10" s="284" t="n">
        <x:f>IFERROR(I8/H8-1,0)</x:f>
        <x:v>0.062245937543792706</x:v>
      </x:c>
    </x:row>
    <x:row r="11" ht="19" customHeight="1">
      <x:c r="B11" s="22"/>
      <x:c r="C11" s="228"/>
      <x:c r="D11" s="228"/>
      <x:c r="E11" s="228"/>
      <x:c r="F11" s="228"/>
      <x:c r="G11" s="228"/>
      <x:c r="H11" s="228"/>
      <x:c r="I11" s="228"/>
    </x:row>
    <x:row r="12" ht="19" customHeight="1">
      <x:c r="B12" s="22" t="str">
        <x:v>Cigarettes segment PBIT</x:v>
      </x:c>
      <x:c r="C12" s="252" t="n">
        <x:f>Segments!C21</x:f>
        <x:v>20024.87</x:v>
      </x:c>
      <x:c r="D12" s="252" t="n">
        <x:f>Segments!D21</x:f>
        <x:v>21051.12</x:v>
      </x:c>
      <x:c r="E12" s="252" t="n">
        <x:f>Segments!E21</x:f>
        <x:v>14471.471520000001</x:v>
      </x:c>
      <x:c r="F12" s="252" t="n">
        <x:f>Segments!F21</x:f>
        <x:v>15349.466286000003</x:v>
      </x:c>
      <x:c r="G12" s="252" t="n">
        <x:f>Segments!G21</x:f>
        <x:v>16313.179456873253</x:v>
      </x:c>
      <x:c r="H12" s="252" t="n">
        <x:f>Segments!H21</x:f>
        <x:v>17566.445942131453</x:v>
      </x:c>
      <x:c r="I12" s="252" t="n">
        <x:f>Segments!I21</x:f>
        <x:v>18765.90482911762</x:v>
      </x:c>
    </x:row>
    <x:row r="13" ht="19" customHeight="1">
      <x:c r="B13" s="22" t="str">
        <x:v>FMCG Others segment PBIT</x:v>
      </x:c>
      <x:c r="C13" s="252" t="n">
        <x:f>Segments!C22</x:f>
        <x:v>1579.66</x:v>
      </x:c>
      <x:c r="D13" s="252" t="n">
        <x:f>Segments!D22</x:f>
        <x:v>1802.63</x:v>
      </x:c>
      <x:c r="E13" s="252" t="n">
        <x:f>Segments!E22</x:f>
        <x:v>2284.1899125000004</x:v>
      </x:c>
      <x:c r="F13" s="252" t="n">
        <x:f>Segments!F22</x:f>
        <x:v>2744.2526337000004</x:v>
      </x:c>
      <x:c r="G13" s="252" t="n">
        <x:f>Segments!G22</x:f>
        <x:v>3215.548194705001</x:v>
      </x:c>
      <x:c r="H13" s="252" t="n">
        <x:f>Segments!H22</x:f>
        <x:v>3719.5361566506012</x:v>
      </x:c>
      <x:c r="I13" s="252" t="n">
        <x:f>Segments!I22</x:f>
        <x:v>4248.854763558572</x:v>
      </x:c>
    </x:row>
    <x:row r="14" ht="19" customHeight="1">
      <x:c r="B14" s="22" t="str">
        <x:v>Agri Business segment PBIT</x:v>
      </x:c>
      <x:c r="C14" s="252" t="n">
        <x:f>Segments!C23</x:f>
        <x:v>1478.03</x:v>
      </x:c>
      <x:c r="D14" s="252" t="n">
        <x:f>Segments!D23</x:f>
        <x:v>1496.46</x:v>
      </x:c>
      <x:c r="E14" s="252" t="n">
        <x:f>Segments!E23</x:f>
        <x:v>1463.3704400000001</x:v>
      </x:c>
      <x:c r="F14" s="252" t="n">
        <x:f>Segments!F23</x:f>
        <x:v>1580.4400752000001</x:v>
      </x:c>
      <x:c r="G14" s="252" t="n">
        <x:f>Segments!G23</x:f>
        <x:v>1705.5582478200004</x:v>
      </x:c>
      <x:c r="H14" s="252" t="n">
        <x:f>Segments!H23</x:f>
        <x:v>1815.0366488625004</x:v>
      </x:c>
      <x:c r="I14" s="252" t="n">
        <x:f>Segments!I23</x:f>
        <x:v>1905.7884813056257</x:v>
      </x:c>
    </x:row>
    <x:row r="15" ht="19" customHeight="1">
      <x:c r="B15" s="22" t="str">
        <x:v>Paper &amp; Packaging PBIT</x:v>
      </x:c>
      <x:c r="C15" s="252" t="n">
        <x:f>Segments!C24</x:f>
        <x:v>911.49</x:v>
      </x:c>
      <x:c r="D15" s="252" t="n">
        <x:f>Segments!D24</x:f>
        <x:v>796.71</x:v>
      </x:c>
      <x:c r="E15" s="252" t="n">
        <x:f>Segments!E24</x:f>
        <x:v>783.069165</x:v>
      </x:c>
      <x:c r="F15" s="252" t="n">
        <x:f>Segments!F24</x:f>
        <x:v>927.8847270400001</x:v>
      </x:c>
      <x:c r="G15" s="252" t="n">
        <x:f>Segments!G24</x:f>
        <x:v>1030.1329115616002</x:v>
      </x:c>
      <x:c r="H15" s="252" t="n">
        <x:f>Segments!H24</x:f>
        <x:v>1130.9462027177601</x:v>
      </x:c>
      <x:c r="I15" s="252" t="n">
        <x:f>Segments!I24</x:f>
        <x:v>1211.7820017821402</x:v>
      </x:c>
    </x:row>
    <x:row r="16" ht="19" customHeight="1">
      <x:c r="B16" s="22" t="str">
        <x:v>Other operating segment PBIT</x:v>
      </x:c>
      <x:c r="C16" s="252" t="n">
        <x:f>Segments!C25</x:f>
        <x:v>64.02</x:v>
      </x:c>
      <x:c r="D16" s="252" t="n">
        <x:f>Segments!D25</x:f>
        <x:v>-8.06</x:v>
      </x:c>
      <x:c r="E16" s="252" t="n">
        <x:f>Segments!E25</x:f>
        <x:v>0</x:v>
      </x:c>
      <x:c r="F16" s="252" t="n">
        <x:f>Segments!F25</x:f>
        <x:v>0</x:v>
      </x:c>
      <x:c r="G16" s="252" t="n">
        <x:f>Segments!G25</x:f>
        <x:v>0</x:v>
      </x:c>
      <x:c r="H16" s="252" t="n">
        <x:f>Segments!H25</x:f>
        <x:v>0</x:v>
      </x:c>
      <x:c r="I16" s="252" t="n">
        <x:f>Segments!I25</x:f>
        <x:v>0</x:v>
      </x:c>
    </x:row>
    <x:row r="17" ht="22" customHeight="1">
      <x:c r="B17" s="96" t="str">
        <x:v>SEGMENT OPERATING PBIT</x:v>
      </x:c>
      <x:c r="C17" s="250" t="n">
        <x:f>SUM(C12:C16)</x:f>
        <x:v>24058.07</x:v>
      </x:c>
      <x:c r="D17" s="250" t="n">
        <x:f>SUM(D12:D16)</x:f>
        <x:v>25138.859999999997</x:v>
      </x:c>
      <x:c r="E17" s="250" t="n">
        <x:f>SUM(E12:E16)</x:f>
        <x:v>19002.1010375</x:v>
      </x:c>
      <x:c r="F17" s="250" t="n">
        <x:f>SUM(F12:F16)</x:f>
        <x:v>20602.043721940005</x:v>
      </x:c>
      <x:c r="G17" s="250" t="n">
        <x:f>SUM(G12:G16)</x:f>
        <x:v>22264.418810959854</x:v>
      </x:c>
      <x:c r="H17" s="250" t="n">
        <x:f>SUM(H12:H16)</x:f>
        <x:v>24231.964950362315</x:v>
      </x:c>
      <x:c r="I17" s="250" t="n">
        <x:f>SUM(I12:I16)</x:f>
        <x:v>26132.330075763955</x:v>
      </x:c>
    </x:row>
    <x:row r="18" ht="19" customHeight="1">
      <x:c r="B18" s="22"/>
      <x:c r="C18" s="228"/>
      <x:c r="D18" s="228"/>
      <x:c r="E18" s="228"/>
      <x:c r="F18" s="228"/>
      <x:c r="G18" s="228"/>
      <x:c r="H18" s="228"/>
      <x:c r="I18" s="228"/>
    </x:row>
    <x:row r="19" ht="19" customHeight="1">
      <x:c r="B19" s="22" t="str">
        <x:v>Recurring net unallocated income</x:v>
      </x:c>
      <x:c r="C19" s="252" t="n">
        <x:f>Historic_IS!C16-Historic_Segments!C24+Historic_IS!C14</x:f>
        <x:v>1979.1400000000008</x:v>
      </x:c>
      <x:c r="D19" s="252" t="n">
        <x:f>Historic_IS!D16-Historic_Segments!D24+Historic_IS!D14</x:f>
        <x:v>1882.5500000000043</x:v>
      </x:c>
      <x:c r="E19" s="252" t="n">
        <x:f>Assumptions!E32</x:f>
        <x:v>1600</x:v>
      </x:c>
      <x:c r="F19" s="252" t="n">
        <x:f>Assumptions!F32</x:f>
        <x:v>1630</x:v>
      </x:c>
      <x:c r="G19" s="252" t="n">
        <x:f>Assumptions!G32</x:f>
        <x:v>1660</x:v>
      </x:c>
      <x:c r="H19" s="252" t="n">
        <x:f>Assumptions!H32</x:f>
        <x:v>1690</x:v>
      </x:c>
      <x:c r="I19" s="252" t="n">
        <x:f>Assumptions!I32</x:f>
        <x:v>1720</x:v>
      </x:c>
    </x:row>
    <x:row r="20" ht="19" customHeight="1">
      <x:c r="B20" s="22" t="str">
        <x:v>Finance costs</x:v>
      </x:c>
      <x:c r="C20" s="252" t="n">
        <x:f>Historic_IS!C14</x:f>
        <x:v>36.35</x:v>
      </x:c>
      <x:c r="D20" s="252" t="n">
        <x:f>Historic_IS!D14</x:f>
        <x:v>69.94</x:v>
      </x:c>
      <x:c r="E20" s="252" t="n">
        <x:f>Assumptions!E33</x:f>
        <x:v>80</x:v>
      </x:c>
      <x:c r="F20" s="252" t="n">
        <x:f>Assumptions!F33</x:f>
        <x:v>85</x:v>
      </x:c>
      <x:c r="G20" s="252" t="n">
        <x:f>Assumptions!G33</x:f>
        <x:v>90</x:v>
      </x:c>
      <x:c r="H20" s="252" t="n">
        <x:f>Assumptions!H33</x:f>
        <x:v>95</x:v>
      </x:c>
      <x:c r="I20" s="252" t="n">
        <x:f>Assumptions!I33</x:f>
        <x:v>100</x:v>
      </x:c>
    </x:row>
    <x:row r="21" ht="22" customHeight="1">
      <x:c r="B21" s="96" t="str">
        <x:v>PBT BEFORE EXCEPTIONAL ITEMS</x:v>
      </x:c>
      <x:c r="C21" s="250" t="n">
        <x:f>SUM(C17,C19)-C20</x:f>
        <x:v>26000.86</x:v>
      </x:c>
      <x:c r="D21" s="250" t="n">
        <x:f>SUM(D17,D19)-D20</x:f>
        <x:v>26951.47</x:v>
      </x:c>
      <x:c r="E21" s="250" t="n">
        <x:f>SUM(E17,E19)-E20</x:f>
        <x:v>20522.1010375</x:v>
      </x:c>
      <x:c r="F21" s="250" t="n">
        <x:f>SUM(F17,F19)-F20</x:f>
        <x:v>22147.043721940005</x:v>
      </x:c>
      <x:c r="G21" s="250" t="n">
        <x:f>SUM(G17,G19)-G20</x:f>
        <x:v>23834.418810959854</x:v>
      </x:c>
      <x:c r="H21" s="250" t="n">
        <x:f>SUM(H17,H19)-H20</x:f>
        <x:v>25826.964950362315</x:v>
      </x:c>
      <x:c r="I21" s="250" t="n">
        <x:f>SUM(I17,I19)-I20</x:f>
        <x:v>27752.330075763955</x:v>
      </x:c>
    </x:row>
    <x:row r="22" ht="19" customHeight="1">
      <x:c r="B22" s="22" t="str">
        <x:v>Exceptional income / (loss)</x:v>
      </x:c>
      <x:c r="C22" s="252" t="n">
        <x:f>Historic_IS!C17</x:f>
        <x:v>527.96</x:v>
      </x:c>
      <x:c r="D22" s="252" t="n">
        <x:f>Historic_IS!D17</x:f>
        <x:v>-183.87</x:v>
      </x:c>
      <x:c r="E22" s="235" t="n">
        <x:f>0</x:f>
        <x:v>0</x:v>
      </x:c>
      <x:c r="F22" s="235" t="n">
        <x:f>0</x:f>
        <x:v>0</x:v>
      </x:c>
      <x:c r="G22" s="235" t="n">
        <x:f>0</x:f>
        <x:v>0</x:v>
      </x:c>
      <x:c r="H22" s="235" t="n">
        <x:f>0</x:f>
        <x:v>0</x:v>
      </x:c>
      <x:c r="I22" s="235" t="n">
        <x:f>0</x:f>
        <x:v>0</x:v>
      </x:c>
    </x:row>
    <x:row r="23" ht="22" customHeight="1">
      <x:c r="B23" s="96" t="str">
        <x:v>REPORTED PBT (CONTINUING)</x:v>
      </x:c>
      <x:c r="C23" s="250" t="n">
        <x:f>SUM(C21:C22)</x:f>
        <x:v>26528.82</x:v>
      </x:c>
      <x:c r="D23" s="250" t="n">
        <x:f>SUM(D21:D22)</x:f>
        <x:v>26767.600000000002</x:v>
      </x:c>
      <x:c r="E23" s="250" t="n">
        <x:f>SUM(E21:E22)</x:f>
        <x:v>20522.1010375</x:v>
      </x:c>
      <x:c r="F23" s="250" t="n">
        <x:f>SUM(F21:F22)</x:f>
        <x:v>22147.043721940005</x:v>
      </x:c>
      <x:c r="G23" s="250" t="n">
        <x:f>SUM(G21:G22)</x:f>
        <x:v>23834.418810959854</x:v>
      </x:c>
      <x:c r="H23" s="250" t="n">
        <x:f>SUM(H21:H22)</x:f>
        <x:v>25826.964950362315</x:v>
      </x:c>
      <x:c r="I23" s="250" t="n">
        <x:f>SUM(I21:I22)</x:f>
        <x:v>27752.330075763955</x:v>
      </x:c>
    </x:row>
    <x:row r="24" ht="19" customHeight="1">
      <x:c r="B24" s="22" t="str">
        <x:v>Tax expense on continuing operations</x:v>
      </x:c>
      <x:c r="C24" s="252" t="n">
        <x:f>Historic_IS!C19</x:f>
        <x:v>6436.97</x:v>
      </x:c>
      <x:c r="D24" s="252" t="n">
        <x:f>Historic_IS!D19</x:f>
        <x:v>6481.18</x:v>
      </x:c>
      <x:c r="E24" s="252" t="n">
        <x:f>E23*Assumptions!E34</x:f>
        <x:v>5171.56946145</x:v>
      </x:c>
      <x:c r="F24" s="252" t="n">
        <x:f>F23*Assumptions!F34</x:f>
        <x:v>5581.055017928881</x:v>
      </x:c>
      <x:c r="G24" s="252" t="n">
        <x:f>G23*Assumptions!G34</x:f>
        <x:v>6006.2735403618835</x:v>
      </x:c>
      <x:c r="H24" s="252" t="n">
        <x:f>H23*Assumptions!H34</x:f>
        <x:v>6508.395167491303</x:v>
      </x:c>
      <x:c r="I24" s="252" t="n">
        <x:f>I23*Assumptions!I34</x:f>
        <x:v>6993.587179092517</x:v>
      </x:c>
    </x:row>
    <x:row r="25" ht="22" customHeight="1">
      <x:c r="B25" s="108" t="str">
        <x:v>PAT — CONTINUING OPERATIONS</x:v>
      </x:c>
      <x:c r="C25" s="233" t="n">
        <x:f>C23-C24</x:f>
        <x:v>20091.85</x:v>
      </x:c>
      <x:c r="D25" s="233" t="n">
        <x:f>D23-D24</x:f>
        <x:v>20286.420000000002</x:v>
      </x:c>
      <x:c r="E25" s="233" t="n">
        <x:f>E23-E24</x:f>
        <x:v>15350.531576050002</x:v>
      </x:c>
      <x:c r="F25" s="233" t="n">
        <x:f>F23-F24</x:f>
        <x:v>16565.988704011124</x:v>
      </x:c>
      <x:c r="G25" s="233" t="n">
        <x:f>G23-G24</x:f>
        <x:v>17828.145270597972</x:v>
      </x:c>
      <x:c r="H25" s="233" t="n">
        <x:f>H23-H24</x:f>
        <x:v>19318.56978287101</x:v>
      </x:c>
      <x:c r="I25" s="233" t="n">
        <x:f>I23-I24</x:f>
        <x:v>20758.74289667144</x:v>
      </x:c>
    </x:row>
    <x:row r="26" ht="19" customHeight="1">
      <x:c r="B26" s="22" t="str">
        <x:v>PAT — discontinued operations</x:v>
      </x:c>
      <x:c r="C26" s="252" t="n">
        <x:f>Historic_IS!C21</x:f>
        <x:v>15103.76</x:v>
      </x:c>
      <x:c r="D26" s="252" t="n">
        <x:f>Historic_IS!D21</x:f>
        <x:v>0</x:v>
      </x:c>
      <x:c r="E26" s="235" t="n">
        <x:f>0</x:f>
        <x:v>0</x:v>
      </x:c>
      <x:c r="F26" s="235" t="n">
        <x:f>0</x:f>
        <x:v>0</x:v>
      </x:c>
      <x:c r="G26" s="235" t="n">
        <x:f>0</x:f>
        <x:v>0</x:v>
      </x:c>
      <x:c r="H26" s="235" t="n">
        <x:f>0</x:f>
        <x:v>0</x:v>
      </x:c>
      <x:c r="I26" s="235" t="n">
        <x:f>0</x:f>
        <x:v>0</x:v>
      </x:c>
    </x:row>
    <x:row r="27" ht="22" customHeight="1">
      <x:c r="B27" s="108" t="str">
        <x:v>PAT AS REPORTED</x:v>
      </x:c>
      <x:c r="C27" s="233" t="n">
        <x:f>SUM(C25:C26)</x:f>
        <x:v>35195.61</x:v>
      </x:c>
      <x:c r="D27" s="233" t="n">
        <x:f>SUM(D25:D26)</x:f>
        <x:v>20286.420000000002</x:v>
      </x:c>
      <x:c r="E27" s="233" t="n">
        <x:f>SUM(E25:E26)</x:f>
        <x:v>15350.531576050002</x:v>
      </x:c>
      <x:c r="F27" s="233" t="n">
        <x:f>SUM(F25:F26)</x:f>
        <x:v>16565.988704011124</x:v>
      </x:c>
      <x:c r="G27" s="233" t="n">
        <x:f>SUM(G25:G26)</x:f>
        <x:v>17828.145270597972</x:v>
      </x:c>
      <x:c r="H27" s="233" t="n">
        <x:f>SUM(H25:H26)</x:f>
        <x:v>19318.56978287101</x:v>
      </x:c>
      <x:c r="I27" s="233" t="n">
        <x:f>SUM(I25:I26)</x:f>
        <x:v>20758.74289667144</x:v>
      </x:c>
    </x:row>
    <x:row r="28" ht="19" customHeight="1">
      <x:c r="B28" s="22" t="str">
        <x:v>EPS — continuing (₹)</x:v>
      </x:c>
      <x:c r="C28" s="296" t="n">
        <x:f>Historic_IS!C23</x:f>
        <x:v>16.07</x:v>
      </x:c>
      <x:c r="D28" s="296" t="n">
        <x:f>Historic_IS!D23</x:f>
        <x:v>16.2</x:v>
      </x:c>
      <x:c r="E28" s="296" t="n">
        <x:f>IFERROR(E25/Assumptions!E48,0)</x:f>
        <x:v>12.241253250438598</x:v>
      </x:c>
      <x:c r="F28" s="296" t="n">
        <x:f>IFERROR(F25/Assumptions!F48,0)</x:f>
        <x:v>13.199990999212051</x:v>
      </x:c>
      <x:c r="G28" s="296" t="n">
        <x:f>IFERROR(G25/Assumptions!G48,0)</x:f>
        <x:v>14.194383177227685</x:v>
      </x:c>
      <x:c r="H28" s="296" t="n">
        <x:f>IFERROR(H25/Assumptions!H48,0)</x:f>
        <x:v>15.368790598942729</x:v>
      </x:c>
      <x:c r="I28" s="296" t="n">
        <x:f>IFERROR(I25/Assumptions!I48,0)</x:f>
        <x:v>16.501385450454244</x:v>
      </x:c>
    </x:row>
    <x:row r="29" ht="19" customHeight="1">
      <x:c r="B29" s="22" t="str">
        <x:v>Dividend per share (₹)</x:v>
      </x:c>
      <x:c r="C29" s="296" t="n">
        <x:f>Historic_IS!C24</x:f>
        <x:v>14.35</x:v>
      </x:c>
      <x:c r="D29" s="296" t="n">
        <x:f>Historic_IS!D24</x:f>
        <x:v>14.5</x:v>
      </x:c>
      <x:c r="E29" s="296" t="n">
        <x:f>Cash_Flow!E13/Assumptions!E48</x:f>
        <x:v>10.405065262872808</x:v>
      </x:c>
      <x:c r="F29" s="296" t="n">
        <x:f>Cash_Flow!F13/Assumptions!F48</x:f>
        <x:v>10.955992529346002</x:v>
      </x:c>
      <x:c r="G29" s="296" t="n">
        <x:f>Cash_Flow!G13/Assumptions!G48</x:f>
        <x:v>11.6393942053267</x:v>
      </x:c>
      <x:c r="H29" s="296" t="n">
        <x:f>Cash_Flow!H13/Assumptions!H48</x:f>
        <x:v>12.602408291133038</x:v>
      </x:c>
      <x:c r="I29" s="296" t="n">
        <x:f>Cash_Flow!I13/Assumptions!I48</x:f>
        <x:v>13.531136069372481</x:v>
      </x:c>
    </x:row>
    <x:row r="30" ht="21" customHeight="1">
      <x:c r="B30" s="32" t="str">
        <x:v>EARNINGS DIAGNOSTICS</x:v>
      </x:c>
      <x:c r="C30" s="229"/>
      <x:c r="D30" s="229"/>
      <x:c r="E30" s="229"/>
      <x:c r="F30" s="229"/>
      <x:c r="G30" s="229"/>
      <x:c r="H30" s="229"/>
      <x:c r="I30" s="229"/>
    </x:row>
    <x:row r="31" ht="19" customHeight="1">
      <x:c r="B31" s="22" t="str">
        <x:v>Depreciation &amp; amortisation</x:v>
      </x:c>
      <x:c r="C31" s="252" t="n">
        <x:f>Historic_IS!C15</x:f>
        <x:v>1441.93</x:v>
      </x:c>
      <x:c r="D31" s="252" t="n">
        <x:f>Historic_IS!D15</x:f>
        <x:v>1473.99</x:v>
      </x:c>
      <x:c r="E31" s="252" t="n">
        <x:f>Assumptions!E35</x:f>
        <x:v>1600</x:v>
      </x:c>
      <x:c r="F31" s="252" t="n">
        <x:f>Assumptions!F35</x:f>
        <x:v>1750</x:v>
      </x:c>
      <x:c r="G31" s="252" t="n">
        <x:f>Assumptions!G35</x:f>
        <x:v>1800</x:v>
      </x:c>
      <x:c r="H31" s="252" t="n">
        <x:f>Assumptions!H35</x:f>
        <x:v>1900</x:v>
      </x:c>
      <x:c r="I31" s="252" t="n">
        <x:f>Assumptions!I35</x:f>
        <x:v>2000</x:v>
      </x:c>
    </x:row>
    <x:row r="32" ht="22" customHeight="1">
      <x:c r="B32" s="96" t="str">
        <x:v>SEGMENT EBITDA PROXY</x:v>
      </x:c>
      <x:c r="C32" s="250" t="n">
        <x:f>C17+C31</x:f>
        <x:v>25500</x:v>
      </x:c>
      <x:c r="D32" s="250" t="n">
        <x:f>D17+D31</x:f>
        <x:v>26612.85</x:v>
      </x:c>
      <x:c r="E32" s="250" t="n">
        <x:f>E17+E31</x:f>
        <x:v>20602.1010375</x:v>
      </x:c>
      <x:c r="F32" s="250" t="n">
        <x:f>F17+F31</x:f>
        <x:v>22352.043721940005</x:v>
      </x:c>
      <x:c r="G32" s="250" t="n">
        <x:f>G17+G31</x:f>
        <x:v>24064.418810959854</x:v>
      </x:c>
      <x:c r="H32" s="250" t="n">
        <x:f>H17+H31</x:f>
        <x:v>26131.964950362315</x:v>
      </x:c>
      <x:c r="I32" s="250" t="n">
        <x:f>I17+I31</x:f>
        <x:v>28132.330075763955</x:v>
      </x:c>
    </x:row>
    <x:row r="33" ht="19" customHeight="1">
      <x:c r="B33" s="22" t="str">
        <x:v>Continuing PAT margin on ex-excise rev</x:v>
      </x:c>
      <x:c r="C33" s="284" t="n">
        <x:f>IFERROR(C25/C8,0)</x:f>
        <x:v>0.2898273197898779</x:v>
      </x:c>
      <x:c r="D33" s="284" t="n">
        <x:f>IFERROR(D25/D8,0)</x:f>
        <x:v>0.2818193209636949</x:v>
      </x:c>
      <x:c r="E33" s="284" t="n">
        <x:f>IFERROR(E25/E8,0)</x:f>
        <x:v>0.23747392768940817</x:v>
      </x:c>
      <x:c r="F33" s="284" t="n">
        <x:f>IFERROR(F25/F8,0)</x:f>
        <x:v>0.2378656929689701</x:v>
      </x:c>
      <x:c r="G33" s="284" t="n">
        <x:f>IFERROR(G25/G8,0)</x:f>
        <x:v>0.23940510626092504</x:v>
      </x:c>
      <x:c r="H33" s="284" t="n">
        <x:f>IFERROR(H25/H8,0)</x:f>
        <x:v>0.2433961566755855</x:v>
      </x:c>
      <x:c r="I33" s="284" t="n">
        <x:f>IFERROR(I25/I8,0)</x:f>
        <x:v>0.24621511837877835</x:v>
      </x:c>
    </x:row>
    <x:row r="34" ht="19" customHeight="1">
      <x:c r="B34" s="22" t="str">
        <x:v>Dividends declared / continuing earnings</x:v>
      </x:c>
      <x:c r="C34" s="284" t="n">
        <x:f>IFERROR(C29/C28,0)</x:f>
        <x:v>0.8929682638456752</x:v>
      </x:c>
      <x:c r="D34" s="284" t="n">
        <x:f>IFERROR(D29/D28,0)</x:f>
        <x:v>0.8950617283950618</x:v>
      </x:c>
      <x:c r="E34" s="284" t="n">
        <x:f>IFERROR(E29/E28,0)</x:f>
        <x:v>0.85</x:v>
      </x:c>
      <x:c r="F34" s="284" t="n">
        <x:f>IFERROR(F29/F28,0)</x:f>
        <x:v>0.83</x:v>
      </x:c>
      <x:c r="G34" s="284" t="n">
        <x:f>IFERROR(G29/G28,0)</x:f>
        <x:v>0.82</x:v>
      </x:c>
      <x:c r="H34" s="284" t="n">
        <x:f>IFERROR(H29/H28,0)</x:f>
        <x:v>0.8200000000000001</x:v>
      </x:c>
      <x:c r="I34" s="284" t="n">
        <x:f>IFERROR(I29/I28,0)</x:f>
        <x:v>0.8200000000000001</x:v>
      </x:c>
    </x:row>
    <x:row r="35" ht="19" customHeight="1">
      <x:c r="B35" s="22" t="str">
        <x:v>Exceptional EPS contamination (reported less continuing)</x:v>
      </x:c>
      <x:c r="C35" s="235" t="n">
        <x:f>C27-C25</x:f>
        <x:v>15103.760000000002</x:v>
      </x:c>
      <x:c r="D35" s="235" t="n">
        <x:f>D27-D25</x:f>
        <x:v>0</x:v>
      </x:c>
      <x:c r="E35" s="235" t="n">
        <x:f>E27-E25</x:f>
        <x:v>0</x:v>
      </x:c>
      <x:c r="F35" s="235" t="n">
        <x:f>F27-F25</x:f>
        <x:v>0</x:v>
      </x:c>
      <x:c r="G35" s="235" t="n">
        <x:f>G27-G25</x:f>
        <x:v>0</x:v>
      </x:c>
      <x:c r="H35" s="235" t="n">
        <x:f>H27-H25</x:f>
        <x:v>0</x:v>
      </x:c>
      <x:c r="I35" s="235" t="n">
        <x:f>I27-I25</x:f>
        <x:v>0</x:v>
      </x:c>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27" customHeight="1">
      <x:c r="B38" s="120" t="str">
        <x:v>FY25 discontinued Hotels income (including demerger accounting) remains isolated; continuing PAT FY25 ₹20,092 crore is a better FY26 comparison than total PAT ₹35,196 crore.</x:v>
      </x:c>
      <x:c r="C38" s="237"/>
      <x:c r="D38" s="237"/>
      <x:c r="E38" s="237"/>
      <x:c r="F38" s="237"/>
      <x:c r="G38" s="237"/>
      <x:c r="H38" s="237"/>
      <x:c r="I38" s="237"/>
    </x:row>
    <x:row r="39" ht="27" customHeight="1">
      <x:c r="B39" s="120" t="str">
        <x:v>EBITDA proxy = segment PBIT + standalone D&amp;A; this is not identical to ITC management adjusted EBITDA due to unallocated operating and non-operating items.</x:v>
      </x:c>
      <x:c r="C39" s="237"/>
      <x:c r="D39" s="237"/>
      <x:c r="E39" s="237"/>
      <x:c r="F39" s="237"/>
      <x:c r="G39" s="237"/>
      <x:c r="H39" s="237"/>
      <x:c r="I39" s="237"/>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19" customHeight="1">
      <x:c r="B48" s="22"/>
      <x:c r="C48" s="228"/>
      <x:c r="D48" s="228"/>
      <x:c r="E48" s="228"/>
      <x:c r="F48" s="228"/>
      <x:c r="G48" s="228"/>
      <x:c r="H48" s="228"/>
      <x:c r="I48" s="22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30:I30"/>
    <x:mergeCell ref="B38:I38"/>
    <x:mergeCell ref="B39:I39"/>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OPERATING WORKING CAPITAL</x:v>
      </x:c>
      <x:c r="C2" s="4"/>
      <x:c r="D2" s="4"/>
      <x:c r="E2" s="4"/>
      <x:c r="F2" s="4"/>
      <x:c r="G2" s="4"/>
      <x:c r="H2" s="4"/>
      <x:c r="I2" s="4"/>
    </x:row>
    <x:row r="3" ht="23" customHeight="1">
      <x:c r="B3" s="9" t="str">
        <x:v>Drivers operate on revenue after excise (not statutory gross turnover) to reduce tax-accounting distortion.</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19" customHeight="1">
      <x:c r="B5" s="22"/>
      <x:c r="C5" s="228"/>
      <x:c r="D5" s="228"/>
      <x:c r="E5" s="228"/>
      <x:c r="F5" s="228"/>
      <x:c r="G5" s="228"/>
      <x:c r="H5" s="228"/>
      <x:c r="I5" s="228"/>
    </x:row>
    <x:row r="6" ht="21" customHeight="1">
      <x:c r="B6" s="32" t="str">
        <x:v>NET OPERATING WORKING CAPITAL SCHEDULE</x:v>
      </x:c>
      <x:c r="C6" s="229"/>
      <x:c r="D6" s="229"/>
      <x:c r="E6" s="229"/>
      <x:c r="F6" s="229"/>
      <x:c r="G6" s="229"/>
      <x:c r="H6" s="229"/>
      <x:c r="I6" s="229"/>
    </x:row>
    <x:row r="7" ht="19" customHeight="1">
      <x:c r="B7" s="22" t="str">
        <x:v>Net operating revenue (ex excise)</x:v>
      </x:c>
      <x:c r="C7" s="252" t="n">
        <x:f>Income_Statement!C8</x:f>
        <x:v>69323.52</x:v>
      </x:c>
      <x:c r="D7" s="252" t="n">
        <x:f>Income_Statement!D8</x:f>
        <x:v>71983.78</x:v>
      </x:c>
      <x:c r="E7" s="252" t="n">
        <x:f>Income_Statement!E8</x:f>
        <x:v>64640.91332218559</x:v>
      </x:c>
      <x:c r="F7" s="252" t="n">
        <x:f>Income_Statement!F8</x:f>
        <x:v>69644.29589336441</x:v>
      </x:c>
      <x:c r="G7" s="252" t="n">
        <x:f>Income_Statement!G8</x:f>
        <x:v>74468.52554250564</x:v>
      </x:c>
      <x:c r="H7" s="252" t="n">
        <x:f>Income_Statement!H8</x:f>
        <x:v>79370.8908420443</x:v>
      </x:c>
      <x:c r="I7" s="252" t="n">
        <x:f>Income_Statement!I8</x:f>
        <x:v>84311.40635619339</x:v>
      </x:c>
    </x:row>
    <x:row r="8" ht="19" customHeight="1">
      <x:c r="B8" s="22"/>
      <x:c r="C8" s="228"/>
      <x:c r="D8" s="228"/>
      <x:c r="E8" s="228"/>
      <x:c r="F8" s="228"/>
      <x:c r="G8" s="228"/>
      <x:c r="H8" s="228"/>
      <x:c r="I8" s="228"/>
    </x:row>
    <x:row r="9" ht="19" customHeight="1">
      <x:c r="B9" s="22" t="str">
        <x:v>Trade receivables</x:v>
      </x:c>
      <x:c r="C9" s="252" t="n">
        <x:f>Historic_BS!C10</x:f>
        <x:v>3910.77</x:v>
      </x:c>
      <x:c r="D9" s="252" t="n">
        <x:f>Historic_BS!D10</x:f>
        <x:v>2925.6</x:v>
      </x:c>
      <x:c r="E9" s="252" t="n">
        <x:f>E7*Assumptions!E38</x:f>
        <x:v>2844.2001861761655</x:v>
      </x:c>
      <x:c r="F9" s="252" t="n">
        <x:f>F7*Assumptions!F38</x:f>
        <x:v>3133.993315201398</x:v>
      </x:c>
      <x:c r="G9" s="252" t="n">
        <x:f>G7*Assumptions!G38</x:f>
        <x:v>3425.5521749552595</x:v>
      </x:c>
      <x:c r="H9" s="252" t="n">
        <x:f>H7*Assumptions!H38</x:f>
        <x:v>3651.060978734038</x:v>
      </x:c>
      <x:c r="I9" s="252" t="n">
        <x:f>I7*Assumptions!I38</x:f>
        <x:v>3878.3246923848956</x:v>
      </x:c>
    </x:row>
    <x:row r="10" ht="19" customHeight="1">
      <x:c r="B10" s="22" t="str">
        <x:v>Inventory</x:v>
      </x:c>
      <x:c r="C10" s="252" t="n">
        <x:f>Historic_BS!C11</x:f>
        <x:v>15061.01</x:v>
      </x:c>
      <x:c r="D10" s="252" t="n">
        <x:f>Historic_BS!D11</x:f>
        <x:v>17931.9</x:v>
      </x:c>
      <x:c r="E10" s="252" t="n">
        <x:f>E7*Assumptions!E37</x:f>
        <x:v>16806.637463768253</x:v>
      </x:c>
      <x:c r="F10" s="252" t="n">
        <x:f>F7*Assumptions!F37</x:f>
        <x:v>17759.295452807924</x:v>
      </x:c>
      <x:c r="G10" s="252" t="n">
        <x:f>G7*Assumptions!G37</x:f>
        <x:v>18617.13138562641</x:v>
      </x:c>
      <x:c r="H10" s="252" t="n">
        <x:f>H7*Assumptions!H37</x:f>
        <x:v>19683.980928826986</x:v>
      </x:c>
      <x:c r="I10" s="252" t="n">
        <x:f>I7*Assumptions!I37</x:f>
        <x:v>20656.294557267378</x:v>
      </x:c>
    </x:row>
    <x:row r="11" ht="19" customHeight="1">
      <x:c r="B11" s="22" t="str">
        <x:v>Other current assets</x:v>
      </x:c>
      <x:c r="C11" s="252" t="n">
        <x:f>Historic_BS!C12</x:f>
        <x:v>2313.8700000000026</x:v>
      </x:c>
      <x:c r="D11" s="252" t="n">
        <x:f>Historic_BS!D12</x:f>
        <x:v>3448.8300000000017</x:v>
      </x:c>
      <x:c r="E11" s="252" t="n">
        <x:f>E7*Assumptions!E39</x:f>
        <x:v>3102.7638394649084</x:v>
      </x:c>
      <x:c r="F11" s="252" t="n">
        <x:f>F7*Assumptions!F39</x:f>
        <x:v>3342.926202881492</x:v>
      </x:c>
      <x:c r="G11" s="252" t="n">
        <x:f>G7*Assumptions!G39</x:f>
        <x:v>3574.4892260402708</x:v>
      </x:c>
      <x:c r="H11" s="252" t="n">
        <x:f>H7*Assumptions!H39</x:f>
        <x:v>3809.8027604181266</x:v>
      </x:c>
      <x:c r="I11" s="252" t="n">
        <x:f>I7*Assumptions!I39</x:f>
        <x:v>4046.947505097283</x:v>
      </x:c>
    </x:row>
    <x:row r="12" ht="22" customHeight="1">
      <x:c r="B12" s="96" t="str">
        <x:v>TOTAL OPERATING CURRENT ASSETS</x:v>
      </x:c>
      <x:c r="C12" s="250" t="n">
        <x:f>SUM(C9:C11)</x:f>
        <x:v>21285.65</x:v>
      </x:c>
      <x:c r="D12" s="250" t="n">
        <x:f>SUM(D9:D11)</x:f>
        <x:v>24306.33</x:v>
      </x:c>
      <x:c r="E12" s="250" t="n">
        <x:f>SUM(E9:E11)</x:f>
        <x:v>22753.601489409328</x:v>
      </x:c>
      <x:c r="F12" s="250" t="n">
        <x:f>SUM(F9:F11)</x:f>
        <x:v>24236.214970890815</x:v>
      </x:c>
      <x:c r="G12" s="250" t="n">
        <x:f>SUM(G9:G11)</x:f>
        <x:v>25617.17278662194</x:v>
      </x:c>
      <x:c r="H12" s="250" t="n">
        <x:f>SUM(H9:H11)</x:f>
        <x:v>27144.844667979152</x:v>
      </x:c>
      <x:c r="I12" s="250" t="n">
        <x:f>SUM(I9:I11)</x:f>
        <x:v>28581.566754749558</x:v>
      </x:c>
    </x:row>
    <x:row r="13" ht="19" customHeight="1">
      <x:c r="B13" s="22"/>
      <x:c r="C13" s="228"/>
      <x:c r="D13" s="228"/>
      <x:c r="E13" s="228"/>
      <x:c r="F13" s="228"/>
      <x:c r="G13" s="228"/>
      <x:c r="H13" s="228"/>
      <x:c r="I13" s="228"/>
    </x:row>
    <x:row r="14" ht="19" customHeight="1">
      <x:c r="B14" s="22" t="str">
        <x:v>Trade payables</x:v>
      </x:c>
      <x:c r="C14" s="252" t="n">
        <x:f>Historic_BS!C24</x:f>
        <x:v>4489.82</x:v>
      </x:c>
      <x:c r="D14" s="252" t="n">
        <x:f>Historic_BS!D24</x:f>
        <x:v>5271.9</x:v>
      </x:c>
      <x:c r="E14" s="252" t="n">
        <x:f>E7*Assumptions!E40</x:f>
        <x:v>4848.068499163919</x:v>
      </x:c>
      <x:c r="F14" s="252" t="n">
        <x:f>F7*Assumptions!F40</x:f>
        <x:v>5223.322192002331</x:v>
      </x:c>
      <x:c r="G14" s="252" t="n">
        <x:f>G7*Assumptions!G40</x:f>
        <x:v>5659.607941230428</x:v>
      </x:c>
      <x:c r="H14" s="252" t="n">
        <x:f>H7*Assumptions!H40</x:f>
        <x:v>6032.187703995367</x:v>
      </x:c>
      <x:c r="I14" s="252" t="n">
        <x:f>I7*Assumptions!I40</x:f>
        <x:v>6491.978289426891</x:v>
      </x:c>
    </x:row>
    <x:row r="15" ht="19" customHeight="1">
      <x:c r="B15" s="22" t="str">
        <x:v>Other current liabilities</x:v>
      </x:c>
      <x:c r="C15" s="252" t="n">
        <x:f>Historic_BS!C25</x:f>
        <x:v>8593.02</x:v>
      </x:c>
      <x:c r="D15" s="252" t="n">
        <x:f>Historic_BS!D25</x:f>
        <x:v>7854.72</x:v>
      </x:c>
      <x:c r="E15" s="252" t="n">
        <x:f>E7*Assumptions!E41</x:f>
        <x:v>7110.500465440415</x:v>
      </x:c>
      <x:c r="F15" s="252" t="n">
        <x:f>F7*Assumptions!F41</x:f>
        <x:v>7521.583956483356</x:v>
      </x:c>
      <x:c r="G15" s="252" t="n">
        <x:f>G7*Assumptions!G41</x:f>
        <x:v>7968.132233048103</x:v>
      </x:c>
      <x:c r="H15" s="252" t="n">
        <x:f>H7*Assumptions!H41</x:f>
        <x:v>8492.68532009874</x:v>
      </x:c>
      <x:c r="I15" s="252" t="n">
        <x:f>I7*Assumptions!I41</x:f>
        <x:v>8937.009073756499</x:v>
      </x:c>
    </x:row>
    <x:row r="16" ht="22" customHeight="1">
      <x:c r="B16" s="96" t="str">
        <x:v>TOTAL OPERATING CURRENT LIABILITIES</x:v>
      </x:c>
      <x:c r="C16" s="250" t="n">
        <x:f>SUM(C14:C15)</x:f>
        <x:v>13082.84</x:v>
      </x:c>
      <x:c r="D16" s="250" t="n">
        <x:f>SUM(D14:D15)</x:f>
        <x:v>13126.619999999999</x:v>
      </x:c>
      <x:c r="E16" s="250" t="n">
        <x:f>SUM(E14:E15)</x:f>
        <x:v>11958.568964604334</x:v>
      </x:c>
      <x:c r="F16" s="250" t="n">
        <x:f>SUM(F14:F15)</x:f>
        <x:v>12744.906148485687</x:v>
      </x:c>
      <x:c r="G16" s="250" t="n">
        <x:f>SUM(G14:G15)</x:f>
        <x:v>13627.740174278531</x:v>
      </x:c>
      <x:c r="H16" s="250" t="n">
        <x:f>SUM(H14:H15)</x:f>
        <x:v>14524.873024094108</x:v>
      </x:c>
      <x:c r="I16" s="250" t="n">
        <x:f>SUM(I14:I15)</x:f>
        <x:v>15428.98736318339</x:v>
      </x:c>
    </x:row>
    <x:row r="17" ht="19" customHeight="1">
      <x:c r="B17" s="22"/>
      <x:c r="C17" s="228"/>
      <x:c r="D17" s="228"/>
      <x:c r="E17" s="228"/>
      <x:c r="F17" s="228"/>
      <x:c r="G17" s="228"/>
      <x:c r="H17" s="228"/>
      <x:c r="I17" s="228"/>
    </x:row>
    <x:row r="18" ht="22" customHeight="1">
      <x:c r="B18" s="108" t="str">
        <x:v>NET OPERATING WORKING CAPITAL</x:v>
      </x:c>
      <x:c r="C18" s="233" t="n">
        <x:f>C12-C16</x:f>
        <x:v>8202.810000000001</x:v>
      </x:c>
      <x:c r="D18" s="233" t="n">
        <x:f>D12-D16</x:f>
        <x:v>11179.710000000003</x:v>
      </x:c>
      <x:c r="E18" s="233" t="n">
        <x:f>E12-E16</x:f>
        <x:v>10795.032524804994</x:v>
      </x:c>
      <x:c r="F18" s="233" t="n">
        <x:f>F12-F16</x:f>
        <x:v>11491.308822405128</x:v>
      </x:c>
      <x:c r="G18" s="233" t="n">
        <x:f>G12-G16</x:f>
        <x:v>11989.43261234341</x:v>
      </x:c>
      <x:c r="H18" s="233" t="n">
        <x:f>H12-H16</x:f>
        <x:v>12619.971643885045</x:v>
      </x:c>
      <x:c r="I18" s="233" t="n">
        <x:f>I12-I16</x:f>
        <x:v>13152.579391566167</x:v>
      </x:c>
    </x:row>
    <x:row r="19" ht="19" customHeight="1">
      <x:c r="B19" s="22" t="str">
        <x:v>Change in operating NWC (cash drag if +)</x:v>
      </x:c>
      <x:c r="C19" s="228"/>
      <x:c r="D19" s="228"/>
      <x:c r="E19" s="235" t="n">
        <x:f>E18-D18</x:f>
        <x:v>-384.6774751950088</x:v>
      </x:c>
      <x:c r="F19" s="235" t="n">
        <x:f>F18-E18</x:f>
        <x:v>696.2762976001341</x:v>
      </x:c>
      <x:c r="G19" s="235" t="n">
        <x:f>G18-F18</x:f>
        <x:v>498.12378993828133</x:v>
      </x:c>
      <x:c r="H19" s="235" t="n">
        <x:f>H18-G18</x:f>
        <x:v>630.5390315416353</x:v>
      </x:c>
      <x:c r="I19" s="235" t="n">
        <x:f>I18-H18</x:f>
        <x:v>532.6077476811224</x:v>
      </x:c>
    </x:row>
    <x:row r="20" ht="21" customHeight="1">
      <x:c r="B20" s="32" t="str">
        <x:v>DRIVER CHECKS</x:v>
      </x:c>
      <x:c r="C20" s="229"/>
      <x:c r="D20" s="229"/>
      <x:c r="E20" s="229"/>
      <x:c r="F20" s="229"/>
      <x:c r="G20" s="229"/>
      <x:c r="H20" s="229"/>
      <x:c r="I20" s="229"/>
    </x:row>
    <x:row r="21" ht="19" customHeight="1">
      <x:c r="B21" s="22" t="str">
        <x:v>Receivables / net turnover</x:v>
      </x:c>
      <x:c r="C21" s="284" t="n">
        <x:f>IFERROR(C9/C7,0)</x:f>
        <x:v>0.05641332119315349</x:v>
      </x:c>
      <x:c r="D21" s="284" t="n">
        <x:f>IFERROR(D9/D7,0)</x:f>
        <x:v>0.04064248918297983</x:v>
      </x:c>
      <x:c r="E21" s="284" t="n">
        <x:f>IFERROR(E9/E7,0)</x:f>
        <x:v>0.044</x:v>
      </x:c>
      <x:c r="F21" s="284" t="n">
        <x:f>IFERROR(F9/F7,0)</x:f>
        <x:v>0.045</x:v>
      </x:c>
      <x:c r="G21" s="284" t="n">
        <x:f>IFERROR(G9/G7,0)</x:f>
        <x:v>0.046</x:v>
      </x:c>
      <x:c r="H21" s="284" t="n">
        <x:f>IFERROR(H9/H7,0)</x:f>
        <x:v>0.046</x:v>
      </x:c>
      <x:c r="I21" s="284" t="n">
        <x:f>IFERROR(I9/I7,0)</x:f>
        <x:v>0.046</x:v>
      </x:c>
    </x:row>
    <x:row r="22" ht="19" customHeight="1">
      <x:c r="B22" s="22" t="str">
        <x:v>Inventory / net turnover</x:v>
      </x:c>
      <x:c r="C22" s="284" t="n">
        <x:f>IFERROR(C10/C7,0)</x:f>
        <x:v>0.2172568559703835</x:v>
      </x:c>
      <x:c r="D22" s="284" t="n">
        <x:f>IFERROR(D10/D7,0)</x:f>
        <x:v>0.24911028567824586</x:v>
      </x:c>
      <x:c r="E22" s="284" t="n">
        <x:f>IFERROR(E10/E7,0)</x:f>
        <x:v>0.26</x:v>
      </x:c>
      <x:c r="F22" s="284" t="n">
        <x:f>IFERROR(F10/F7,0)</x:f>
        <x:v>0.255</x:v>
      </x:c>
      <x:c r="G22" s="284" t="n">
        <x:f>IFERROR(G10/G7,0)</x:f>
        <x:v>0.25</x:v>
      </x:c>
      <x:c r="H22" s="284" t="n">
        <x:f>IFERROR(H10/H7,0)</x:f>
        <x:v>0.248</x:v>
      </x:c>
      <x:c r="I22" s="284" t="n">
        <x:f>IFERROR(I10/I7,0)</x:f>
        <x:v>0.24499999999999997</x:v>
      </x:c>
    </x:row>
    <x:row r="23" ht="19" customHeight="1">
      <x:c r="B23" s="22" t="str">
        <x:v>Other current assets / net turnover</x:v>
      </x:c>
      <x:c r="C23" s="284" t="n">
        <x:f>IFERROR(C11/C7,0)</x:f>
        <x:v>0.03337784924943226</x:v>
      </x:c>
      <x:c r="D23" s="284" t="n">
        <x:f>IFERROR(D11/D7,0)</x:f>
        <x:v>0.047911209997585594</x:v>
      </x:c>
      <x:c r="E23" s="284" t="n">
        <x:f>IFERROR(E11/E7,0)</x:f>
        <x:v>0.048</x:v>
      </x:c>
      <x:c r="F23" s="284" t="n">
        <x:f>IFERROR(F11/F7,0)</x:f>
        <x:v>0.048</x:v>
      </x:c>
      <x:c r="G23" s="284" t="n">
        <x:f>IFERROR(G11/G7,0)</x:f>
        <x:v>0.048</x:v>
      </x:c>
      <x:c r="H23" s="284" t="n">
        <x:f>IFERROR(H11/H7,0)</x:f>
        <x:v>0.048</x:v>
      </x:c>
      <x:c r="I23" s="284" t="n">
        <x:f>IFERROR(I11/I7,0)</x:f>
        <x:v>0.048</x:v>
      </x:c>
    </x:row>
    <x:row r="24" ht="19" customHeight="1">
      <x:c r="B24" s="22" t="str">
        <x:v>Payables / net turnover</x:v>
      </x:c>
      <x:c r="C24" s="284" t="n">
        <x:f>IFERROR(C14/C7,0)</x:f>
        <x:v>0.06476618613711478</x:v>
      </x:c>
      <x:c r="D24" s="284" t="n">
        <x:f>IFERROR(D14/D7,0)</x:f>
        <x:v>0.07323733207675395</x:v>
      </x:c>
      <x:c r="E24" s="284" t="n">
        <x:f>IFERROR(E14/E7,0)</x:f>
        <x:v>0.075</x:v>
      </x:c>
      <x:c r="F24" s="284" t="n">
        <x:f>IFERROR(F14/F7,0)</x:f>
        <x:v>0.075</x:v>
      </x:c>
      <x:c r="G24" s="284" t="n">
        <x:f>IFERROR(G14/G7,0)</x:f>
        <x:v>0.076</x:v>
      </x:c>
      <x:c r="H24" s="284" t="n">
        <x:f>IFERROR(H14/H7,0)</x:f>
        <x:v>0.076</x:v>
      </x:c>
      <x:c r="I24" s="284" t="n">
        <x:f>IFERROR(I14/I7,0)</x:f>
        <x:v>0.077</x:v>
      </x:c>
    </x:row>
    <x:row r="25" ht="19" customHeight="1">
      <x:c r="B25" s="22" t="str">
        <x:v>Other current liabilities / net turnover</x:v>
      </x:c>
      <x:c r="C25" s="284" t="n">
        <x:f>IFERROR(C15/C7,0)</x:f>
        <x:v>0.12395533290865784</x:v>
      </x:c>
      <x:c r="D25" s="284" t="n">
        <x:f>IFERROR(D15/D7,0)</x:f>
        <x:v>0.10911791517477966</x:v>
      </x:c>
      <x:c r="E25" s="284" t="n">
        <x:f>IFERROR(E15/E7,0)</x:f>
        <x:v>0.11</x:v>
      </x:c>
      <x:c r="F25" s="284" t="n">
        <x:f>IFERROR(F15/F7,0)</x:f>
        <x:v>0.108</x:v>
      </x:c>
      <x:c r="G25" s="284" t="n">
        <x:f>IFERROR(G15/G7,0)</x:f>
        <x:v>0.107</x:v>
      </x:c>
      <x:c r="H25" s="284" t="n">
        <x:f>IFERROR(H15/H7,0)</x:f>
        <x:v>0.107</x:v>
      </x:c>
      <x:c r="I25" s="284" t="n">
        <x:f>IFERROR(I15/I7,0)</x:f>
        <x:v>0.106</x:v>
      </x:c>
    </x:row>
    <x:row r="26" ht="19" customHeight="1">
      <x:c r="B26" s="22"/>
      <x:c r="C26" s="228"/>
      <x:c r="D26" s="228"/>
      <x:c r="E26" s="228"/>
      <x:c r="F26" s="228"/>
      <x:c r="G26" s="228"/>
      <x:c r="H26" s="228"/>
      <x:c r="I26" s="228"/>
    </x:row>
    <x:row r="27" ht="19" customHeight="1">
      <x:c r="B27" s="22" t="str">
        <x:v>Working capital / sales (%)</x:v>
      </x:c>
      <x:c r="C27" s="284" t="n">
        <x:f>IFERROR(C18/C7,0)</x:f>
        <x:v>0.1183265073671966</x:v>
      </x:c>
      <x:c r="D27" s="284" t="n">
        <x:f>IFERROR(D18/D7,0)</x:f>
        <x:v>0.15530873760727767</x:v>
      </x:c>
      <x:c r="E27" s="284" t="n">
        <x:f>IFERROR(E18/E7,0)</x:f>
        <x:v>0.167</x:v>
      </x:c>
      <x:c r="F27" s="284" t="n">
        <x:f>IFERROR(F18/F7,0)</x:f>
        <x:v>0.165</x:v>
      </x:c>
      <x:c r="G27" s="284" t="n">
        <x:f>IFERROR(G18/G7,0)</x:f>
        <x:v>0.16100000000000003</x:v>
      </x:c>
      <x:c r="H27" s="284" t="n">
        <x:f>IFERROR(H18/H7,0)</x:f>
        <x:v>0.159</x:v>
      </x:c>
      <x:c r="I27" s="284" t="n">
        <x:f>IFERROR(I18/I7,0)</x:f>
        <x:v>0.15599999999999997</x:v>
      </x:c>
    </x:row>
    <x:row r="28" ht="19" customHeight="1">
      <x:c r="B28" s="22"/>
      <x:c r="C28" s="228"/>
      <x:c r="D28" s="228"/>
      <x:c r="E28" s="228"/>
      <x:c r="F28" s="228"/>
      <x:c r="G28" s="228"/>
      <x:c r="H28" s="228"/>
      <x:c r="I28" s="228"/>
    </x:row>
    <x:row r="29" ht="27" customHeight="1">
      <x:c r="B29" s="120" t="str">
        <x:v>Working capital consists of modeled trade and operating balances. Current liquid investments and bank balances are financing resources and kept separate.</x:v>
      </x:c>
      <x:c r="C29" s="237"/>
      <x:c r="D29" s="237"/>
      <x:c r="E29" s="237"/>
      <x:c r="F29" s="237"/>
      <x:c r="G29" s="237"/>
      <x:c r="H29" s="237"/>
      <x:c r="I29" s="237"/>
    </x:row>
    <x:row r="30" ht="19" customHeight="1">
      <x:c r="B30" s="22"/>
      <x:c r="C30" s="228"/>
      <x:c r="D30" s="228"/>
      <x:c r="E30" s="228"/>
      <x:c r="F30" s="228"/>
      <x:c r="G30" s="228"/>
      <x:c r="H30" s="228"/>
      <x:c r="I30" s="228"/>
    </x:row>
    <x:row r="31" ht="19" customHeight="1">
      <x:c r="B31" s="22"/>
      <x:c r="C31" s="228"/>
      <x:c r="D31" s="228"/>
      <x:c r="E31" s="228"/>
      <x:c r="F31" s="228"/>
      <x:c r="G31" s="228"/>
      <x:c r="H31" s="228"/>
      <x:c r="I31" s="228"/>
    </x:row>
    <x:row r="32" ht="19" customHeight="1">
      <x:c r="B32" s="22"/>
      <x:c r="C32" s="228"/>
      <x:c r="D32" s="228"/>
      <x:c r="E32" s="228"/>
      <x:c r="F32" s="228"/>
      <x:c r="G32" s="228"/>
      <x:c r="H32" s="228"/>
      <x:c r="I32" s="228"/>
    </x:row>
    <x:row r="33" ht="19" customHeight="1">
      <x:c r="B33" s="22"/>
      <x:c r="C33" s="228"/>
      <x:c r="D33" s="228"/>
      <x:c r="E33" s="228"/>
      <x:c r="F33" s="228"/>
      <x:c r="G33" s="228"/>
      <x:c r="H33" s="228"/>
      <x:c r="I33" s="228"/>
    </x:row>
    <x:row r="34" ht="19" customHeight="1">
      <x:c r="B34" s="22"/>
      <x:c r="C34" s="228"/>
      <x:c r="D34" s="228"/>
      <x:c r="E34" s="228"/>
      <x:c r="F34" s="228"/>
      <x:c r="G34" s="228"/>
      <x:c r="H34" s="228"/>
      <x:c r="I34" s="228"/>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19" customHeight="1">
      <x:c r="B38" s="22"/>
      <x:c r="C38" s="228"/>
      <x:c r="D38" s="228"/>
      <x:c r="E38" s="228"/>
      <x:c r="F38" s="228"/>
      <x:c r="G38" s="228"/>
      <x:c r="H38" s="228"/>
      <x:c r="I38" s="228"/>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19" customHeight="1">
      <x:c r="B48" s="22"/>
      <x:c r="C48" s="228"/>
      <x:c r="D48" s="228"/>
      <x:c r="E48" s="228"/>
      <x:c r="F48" s="228"/>
      <x:c r="G48" s="228"/>
      <x:c r="H48" s="228"/>
      <x:c r="I48" s="22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20:I20"/>
    <x:mergeCell ref="B29:I29"/>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PROJECTED STANDALONE BALANCE SHEET</x:v>
      </x:c>
      <x:c r="C2" s="4"/>
      <x:c r="D2" s="4"/>
      <x:c r="E2" s="4"/>
      <x:c r="F2" s="4"/>
      <x:c r="G2" s="4"/>
      <x:c r="H2" s="4"/>
      <x:c r="I2" s="4"/>
    </x:row>
    <x:row r="3" ht="23" customHeight="1">
      <x:c r="B3" s="9" t="str">
        <x:v>All FY27–FY31 asset, cash, borrowing and retained-earnings lines link to the integrated cash flow and working capital.</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21" customHeight="1">
      <x:c r="B5" s="32" t="str">
        <x:v>ASSETS  •  INVESTMENTS ARE A LIQUIDITY SWEEP</x:v>
      </x:c>
      <x:c r="C5" s="229"/>
      <x:c r="D5" s="229"/>
      <x:c r="E5" s="229"/>
      <x:c r="F5" s="229"/>
      <x:c r="G5" s="229"/>
      <x:c r="H5" s="229"/>
      <x:c r="I5" s="229"/>
    </x:row>
    <x:row r="6" ht="19" customHeight="1">
      <x:c r="B6" s="22" t="str">
        <x:v>Current investments (cash deployment sweep)</x:v>
      </x:c>
      <x:c r="C6" s="252" t="n">
        <x:f>Historic_BS!C8</x:f>
        <x:v>15285.91</x:v>
      </x:c>
      <x:c r="D6" s="252" t="n">
        <x:f>Historic_BS!D8</x:f>
        <x:v>19701.54</x:v>
      </x:c>
      <x:c r="E6" s="252" t="n">
        <x:f>Cash_Flow!E17</x:f>
        <x:v>17624.597211602508</x:v>
      </x:c>
      <x:c r="F6" s="252" t="n">
        <x:f>Cash_Flow!F17</x:f>
        <x:v>18494.538993684262</x:v>
      </x:c>
      <x:c r="G6" s="252" t="n">
        <x:f>Cash_Flow!G17</x:f>
        <x:v>19905.481352453622</x:v>
      </x:c>
      <x:c r="H6" s="252" t="n">
        <x:f>Cash_Flow!H17</x:f>
        <x:v>21352.284881828768</x:v>
      </x:c>
      <x:c r="I6" s="252" t="n">
        <x:f>Cash_Flow!I17</x:f>
        <x:v>23056.250855548504</x:v>
      </x:c>
    </x:row>
    <x:row r="7" ht="19" customHeight="1">
      <x:c r="B7" s="22" t="str">
        <x:v>Cash and cash equivalents (closing)</x:v>
      </x:c>
      <x:c r="C7" s="252" t="n">
        <x:f>Historic_BS!C7</x:f>
        <x:v>222.06</x:v>
      </x:c>
      <x:c r="D7" s="252" t="n">
        <x:f>Historic_BS!D7</x:f>
        <x:v>110.02</x:v>
      </x:c>
      <x:c r="E7" s="252" t="n">
        <x:f>Cash_Flow!E18</x:f>
        <x:v>150.00000000000068</x:v>
      </x:c>
      <x:c r="F7" s="252" t="n">
        <x:f>Cash_Flow!F18</x:f>
        <x:v>150.0000000000025</x:v>
      </x:c>
      <x:c r="G7" s="252" t="n">
        <x:f>Cash_Flow!G18</x:f>
        <x:v>149.99999999999886</x:v>
      </x:c>
      <x:c r="H7" s="252" t="n">
        <x:f>Cash_Flow!H18</x:f>
        <x:v>149.99999999999886</x:v>
      </x:c>
      <x:c r="I7" s="252" t="n">
        <x:f>Cash_Flow!I18</x:f>
        <x:v>149.99999999999886</x:v>
      </x:c>
    </x:row>
    <x:row r="8" ht="19" customHeight="1">
      <x:c r="B8" s="22" t="str">
        <x:v>Other bank balances (cash-like, unchanged)</x:v>
      </x:c>
      <x:c r="C8" s="252" t="n">
        <x:f>Historic_BS!C9</x:f>
        <x:v>2962.32</x:v>
      </x:c>
      <x:c r="D8" s="252" t="n">
        <x:f>Historic_BS!D9</x:f>
        <x:v>2025.5</x:v>
      </x:c>
      <x:c r="E8" s="235" t="n">
        <x:f>D8</x:f>
        <x:v>2025.5</x:v>
      </x:c>
      <x:c r="F8" s="235" t="n">
        <x:f>E8</x:f>
        <x:v>2025.5</x:v>
      </x:c>
      <x:c r="G8" s="235" t="n">
        <x:f>F8</x:f>
        <x:v>2025.5</x:v>
      </x:c>
      <x:c r="H8" s="235" t="n">
        <x:f>G8</x:f>
        <x:v>2025.5</x:v>
      </x:c>
      <x:c r="I8" s="235" t="n">
        <x:f>H8</x:f>
        <x:v>2025.5</x:v>
      </x:c>
    </x:row>
    <x:row r="9" ht="19" customHeight="1">
      <x:c r="B9" s="22" t="str">
        <x:v>Trade receivables</x:v>
      </x:c>
      <x:c r="C9" s="252" t="n">
        <x:f>Historic_BS!C10</x:f>
        <x:v>3910.77</x:v>
      </x:c>
      <x:c r="D9" s="252" t="n">
        <x:f>Historic_BS!D10</x:f>
        <x:v>2925.6</x:v>
      </x:c>
      <x:c r="E9" s="252" t="n">
        <x:f>Working_Capital!E9</x:f>
        <x:v>2844.2001861761655</x:v>
      </x:c>
      <x:c r="F9" s="252" t="n">
        <x:f>Working_Capital!F9</x:f>
        <x:v>3133.993315201398</x:v>
      </x:c>
      <x:c r="G9" s="252" t="n">
        <x:f>Working_Capital!G9</x:f>
        <x:v>3425.5521749552595</x:v>
      </x:c>
      <x:c r="H9" s="252" t="n">
        <x:f>Working_Capital!H9</x:f>
        <x:v>3651.060978734038</x:v>
      </x:c>
      <x:c r="I9" s="252" t="n">
        <x:f>Working_Capital!I9</x:f>
        <x:v>3878.3246923848956</x:v>
      </x:c>
    </x:row>
    <x:row r="10" ht="19" customHeight="1">
      <x:c r="B10" s="22" t="str">
        <x:v>Inventory</x:v>
      </x:c>
      <x:c r="C10" s="252" t="n">
        <x:f>Historic_BS!C11</x:f>
        <x:v>15061.01</x:v>
      </x:c>
      <x:c r="D10" s="252" t="n">
        <x:f>Historic_BS!D11</x:f>
        <x:v>17931.9</x:v>
      </x:c>
      <x:c r="E10" s="252" t="n">
        <x:f>Working_Capital!E10</x:f>
        <x:v>16806.637463768253</x:v>
      </x:c>
      <x:c r="F10" s="252" t="n">
        <x:f>Working_Capital!F10</x:f>
        <x:v>17759.295452807924</x:v>
      </x:c>
      <x:c r="G10" s="252" t="n">
        <x:f>Working_Capital!G10</x:f>
        <x:v>18617.13138562641</x:v>
      </x:c>
      <x:c r="H10" s="252" t="n">
        <x:f>Working_Capital!H10</x:f>
        <x:v>19683.980928826986</x:v>
      </x:c>
      <x:c r="I10" s="252" t="n">
        <x:f>Working_Capital!I10</x:f>
        <x:v>20656.294557267378</x:v>
      </x:c>
    </x:row>
    <x:row r="11" ht="19" customHeight="1">
      <x:c r="B11" s="22" t="str">
        <x:v>Other current operating assets</x:v>
      </x:c>
      <x:c r="C11" s="252" t="n">
        <x:f>Historic_BS!C12</x:f>
        <x:v>2313.8700000000026</x:v>
      </x:c>
      <x:c r="D11" s="252" t="n">
        <x:f>Historic_BS!D12</x:f>
        <x:v>3448.8300000000017</x:v>
      </x:c>
      <x:c r="E11" s="252" t="n">
        <x:f>Working_Capital!E11</x:f>
        <x:v>3102.7638394649084</x:v>
      </x:c>
      <x:c r="F11" s="252" t="n">
        <x:f>Working_Capital!F11</x:f>
        <x:v>3342.926202881492</x:v>
      </x:c>
      <x:c r="G11" s="252" t="n">
        <x:f>Working_Capital!G11</x:f>
        <x:v>3574.4892260402708</x:v>
      </x:c>
      <x:c r="H11" s="252" t="n">
        <x:f>Working_Capital!H11</x:f>
        <x:v>3809.8027604181266</x:v>
      </x:c>
      <x:c r="I11" s="252" t="n">
        <x:f>Working_Capital!I11</x:f>
        <x:v>4046.947505097283</x:v>
      </x:c>
    </x:row>
    <x:row r="12" ht="22" customHeight="1">
      <x:c r="B12" s="96" t="str">
        <x:v>TOTAL CURRENT ASSETS</x:v>
      </x:c>
      <x:c r="C12" s="258" t="n">
        <x:f>Historic_BS!C13</x:f>
        <x:v>39755.94</x:v>
      </x:c>
      <x:c r="D12" s="258" t="n">
        <x:f>Historic_BS!D13</x:f>
        <x:v>46143.39</x:v>
      </x:c>
      <x:c r="E12" s="250" t="n">
        <x:f>SUM(E6:E11)</x:f>
        <x:v>42553.69870101184</x:v>
      </x:c>
      <x:c r="F12" s="250" t="n">
        <x:f>SUM(F6:F11)</x:f>
        <x:v>44906.25396457508</x:v>
      </x:c>
      <x:c r="G12" s="250" t="n">
        <x:f>SUM(G6:G11)</x:f>
        <x:v>47698.15413907556</x:v>
      </x:c>
      <x:c r="H12" s="250" t="n">
        <x:f>SUM(H6:H11)</x:f>
        <x:v>50672.62954980791</x:v>
      </x:c>
      <x:c r="I12" s="250" t="n">
        <x:f>SUM(I6:I11)</x:f>
        <x:v>53813.317610298065</x:v>
      </x:c>
    </x:row>
    <x:row r="13" ht="19" customHeight="1">
      <x:c r="B13" s="22"/>
      <x:c r="C13" s="228"/>
      <x:c r="D13" s="228"/>
      <x:c r="E13" s="228"/>
      <x:c r="F13" s="228"/>
      <x:c r="G13" s="228"/>
      <x:c r="H13" s="228"/>
      <x:c r="I13" s="228"/>
    </x:row>
    <x:row r="14" ht="19" customHeight="1">
      <x:c r="B14" s="22" t="str">
        <x:v>Operating fixed assets / acquired paper business</x:v>
      </x:c>
      <x:c r="C14" s="252" t="n">
        <x:f>Historic_BS!C15</x:f>
        <x:v>21059.180000000004</x:v>
      </x:c>
      <x:c r="D14" s="252" t="n">
        <x:f>Historic_BS!D15</x:f>
        <x:v>22025.97</x:v>
      </x:c>
      <x:c r="E14" s="252" t="n">
        <x:f>D14+Assumptions!E43+Assumptions!E44-Assumptions!E35</x:f>
        <x:v>26523.97</x:v>
      </x:c>
      <x:c r="F14" s="252" t="n">
        <x:f>E14+Assumptions!F43+Assumptions!F44-Assumptions!F35</x:f>
        <x:v>27573.97</x:v>
      </x:c>
      <x:c r="G14" s="252" t="n">
        <x:f>F14+Assumptions!G43+Assumptions!G44-Assumptions!G35</x:f>
        <x:v>28673.97</x:v>
      </x:c>
      <x:c r="H14" s="252" t="n">
        <x:f>G14+Assumptions!H43+Assumptions!H44-Assumptions!H35</x:f>
        <x:v>29873.97</x:v>
      </x:c>
      <x:c r="I14" s="252" t="n">
        <x:f>H14+Assumptions!I43+Assumptions!I44-Assumptions!I35</x:f>
        <x:v>31173.97</x:v>
      </x:c>
    </x:row>
    <x:row r="15" ht="19" customHeight="1">
      <x:c r="B15" s="22" t="str">
        <x:v>Noncurrent strategic and other investments</x:v>
      </x:c>
      <x:c r="C15" s="252" t="n">
        <x:f>Historic_BS!C16</x:f>
        <x:v>20701.17</x:v>
      </x:c>
      <x:c r="D15" s="252" t="n">
        <x:f>Historic_BS!D16</x:f>
        <x:v>19409.05</x:v>
      </x:c>
      <x:c r="E15" s="235" t="n">
        <x:f>D15</x:f>
        <x:v>19409.05</x:v>
      </x:c>
      <x:c r="F15" s="235" t="n">
        <x:f>E15</x:f>
        <x:v>19409.05</x:v>
      </x:c>
      <x:c r="G15" s="235" t="n">
        <x:f>F15</x:f>
        <x:v>19409.05</x:v>
      </x:c>
      <x:c r="H15" s="235" t="n">
        <x:f>G15</x:f>
        <x:v>19409.05</x:v>
      </x:c>
      <x:c r="I15" s="235" t="n">
        <x:f>H15</x:f>
        <x:v>19409.05</x:v>
      </x:c>
    </x:row>
    <x:row r="16" ht="19" customHeight="1">
      <x:c r="B16" s="22" t="str">
        <x:v>Other noncurrent assets</x:v>
      </x:c>
      <x:c r="C16" s="252" t="n">
        <x:f>Historic_BS!C17</x:f>
        <x:v>2492.909999999996</x:v>
      </x:c>
      <x:c r="D16" s="252" t="n">
        <x:f>Historic_BS!D17</x:f>
        <x:v>1337.449999999997</x:v>
      </x:c>
      <x:c r="E16" s="235" t="n">
        <x:f>D16</x:f>
        <x:v>1337.449999999997</x:v>
      </x:c>
      <x:c r="F16" s="235" t="n">
        <x:f>E16</x:f>
        <x:v>1337.449999999997</x:v>
      </x:c>
      <x:c r="G16" s="235" t="n">
        <x:f>F16</x:f>
        <x:v>1337.449999999997</x:v>
      </x:c>
      <x:c r="H16" s="235" t="n">
        <x:f>G16</x:f>
        <x:v>1337.449999999997</x:v>
      </x:c>
      <x:c r="I16" s="235" t="n">
        <x:f>H16</x:f>
        <x:v>1337.449999999997</x:v>
      </x:c>
    </x:row>
    <x:row r="17" ht="22" customHeight="1">
      <x:c r="B17" s="96" t="str">
        <x:v>TOTAL NONCURRENT ASSETS</x:v>
      </x:c>
      <x:c r="C17" s="258" t="n">
        <x:f>Historic_BS!C18</x:f>
        <x:v>44253.26</x:v>
      </x:c>
      <x:c r="D17" s="258" t="n">
        <x:f>Historic_BS!D18</x:f>
        <x:v>42772.47</x:v>
      </x:c>
      <x:c r="E17" s="250" t="n">
        <x:f>SUM(E14:E16)</x:f>
        <x:v>47270.47</x:v>
      </x:c>
      <x:c r="F17" s="250" t="n">
        <x:f>SUM(F14:F16)</x:f>
        <x:v>48320.47</x:v>
      </x:c>
      <x:c r="G17" s="250" t="n">
        <x:f>SUM(G14:G16)</x:f>
        <x:v>49420.47</x:v>
      </x:c>
      <x:c r="H17" s="250" t="n">
        <x:f>SUM(H14:H16)</x:f>
        <x:v>50620.47</x:v>
      </x:c>
      <x:c r="I17" s="250" t="n">
        <x:f>SUM(I14:I16)</x:f>
        <x:v>51920.47</x:v>
      </x:c>
    </x:row>
    <x:row r="18" ht="22" customHeight="1">
      <x:c r="B18" s="108" t="str">
        <x:v>TOTAL ASSETS</x:v>
      </x:c>
      <x:c r="C18" s="259" t="n">
        <x:f>Historic_BS!C19</x:f>
        <x:v>84009.2</x:v>
      </x:c>
      <x:c r="D18" s="259" t="n">
        <x:f>Historic_BS!D19</x:f>
        <x:v>88915.86</x:v>
      </x:c>
      <x:c r="E18" s="233" t="n">
        <x:f>SUM(E12,E17)</x:f>
        <x:v>89824.16870101183</x:v>
      </x:c>
      <x:c r="F18" s="233" t="n">
        <x:f>SUM(F12,F17)</x:f>
        <x:v>93226.72396457508</x:v>
      </x:c>
      <x:c r="G18" s="233" t="n">
        <x:f>SUM(G12,G17)</x:f>
        <x:v>97118.62413907556</x:v>
      </x:c>
      <x:c r="H18" s="233" t="n">
        <x:f>SUM(H12,H17)</x:f>
        <x:v>101293.09954980791</x:v>
      </x:c>
      <x:c r="I18" s="233" t="n">
        <x:f>SUM(I12,I17)</x:f>
        <x:v>105733.78761029807</x:v>
      </x:c>
    </x:row>
    <x:row r="19" ht="19" customHeight="1">
      <x:c r="B19" s="22"/>
      <x:c r="C19" s="228"/>
      <x:c r="D19" s="228"/>
      <x:c r="E19" s="228"/>
      <x:c r="F19" s="228"/>
      <x:c r="G19" s="228"/>
      <x:c r="H19" s="228"/>
      <x:c r="I19" s="228"/>
    </x:row>
    <x:row r="20" ht="21" customHeight="1">
      <x:c r="B20" s="32" t="str">
        <x:v>LIABILITIES / EQUITY</x:v>
      </x:c>
      <x:c r="C20" s="229"/>
      <x:c r="D20" s="229"/>
      <x:c r="E20" s="229"/>
      <x:c r="F20" s="229"/>
      <x:c r="G20" s="229"/>
      <x:c r="H20" s="229"/>
      <x:c r="I20" s="229"/>
    </x:row>
    <x:row r="21" ht="19" customHeight="1">
      <x:c r="B21" s="22" t="str">
        <x:v>Borrowings, current</x:v>
      </x:c>
      <x:c r="C21" s="252" t="n">
        <x:f>Historic_BS!C22</x:f>
        <x:v>1.76</x:v>
      </x:c>
      <x:c r="D21" s="252" t="n">
        <x:f>Historic_BS!D22</x:f>
        <x:v>2026.22</x:v>
      </x:c>
      <x:c r="E21" s="252" t="n">
        <x:f>D21+Assumptions!E46</x:f>
        <x:v>1800</x:v>
      </x:c>
      <x:c r="F21" s="252" t="n">
        <x:f>E21+Assumptions!F46</x:f>
        <x:v>1600</x:v>
      </x:c>
      <x:c r="G21" s="252" t="n">
        <x:f>F21+Assumptions!G46</x:f>
        <x:v>1400</x:v>
      </x:c>
      <x:c r="H21" s="252" t="n">
        <x:f>G21+Assumptions!H46</x:f>
        <x:v>1200</x:v>
      </x:c>
      <x:c r="I21" s="252" t="n">
        <x:f>H21+Assumptions!I46</x:f>
        <x:v>1000</x:v>
      </x:c>
    </x:row>
    <x:row r="22" ht="19" customHeight="1">
      <x:c r="B22" s="22" t="str">
        <x:v>Current lease liabilities (held flat)</x:v>
      </x:c>
      <x:c r="C22" s="252" t="n">
        <x:f>Historic_BS!C23</x:f>
        <x:v>37.54</x:v>
      </x:c>
      <x:c r="D22" s="252" t="n">
        <x:f>Historic_BS!D23</x:f>
        <x:v>39.08</x:v>
      </x:c>
      <x:c r="E22" s="235" t="n">
        <x:f>D22</x:f>
        <x:v>39.08</x:v>
      </x:c>
      <x:c r="F22" s="235" t="n">
        <x:f>E22</x:f>
        <x:v>39.08</x:v>
      </x:c>
      <x:c r="G22" s="235" t="n">
        <x:f>F22</x:f>
        <x:v>39.08</x:v>
      </x:c>
      <x:c r="H22" s="235" t="n">
        <x:f>G22</x:f>
        <x:v>39.08</x:v>
      </x:c>
      <x:c r="I22" s="235" t="n">
        <x:f>H22</x:f>
        <x:v>39.08</x:v>
      </x:c>
    </x:row>
    <x:row r="23" ht="19" customHeight="1">
      <x:c r="B23" s="22" t="str">
        <x:v>Trade payables</x:v>
      </x:c>
      <x:c r="C23" s="252" t="n">
        <x:f>Historic_BS!C24</x:f>
        <x:v>4489.82</x:v>
      </x:c>
      <x:c r="D23" s="252" t="n">
        <x:f>Historic_BS!D24</x:f>
        <x:v>5271.9</x:v>
      </x:c>
      <x:c r="E23" s="252" t="n">
        <x:f>Working_Capital!E14</x:f>
        <x:v>4848.068499163919</x:v>
      </x:c>
      <x:c r="F23" s="252" t="n">
        <x:f>Working_Capital!F14</x:f>
        <x:v>5223.322192002331</x:v>
      </x:c>
      <x:c r="G23" s="252" t="n">
        <x:f>Working_Capital!G14</x:f>
        <x:v>5659.607941230428</x:v>
      </x:c>
      <x:c r="H23" s="252" t="n">
        <x:f>Working_Capital!H14</x:f>
        <x:v>6032.187703995367</x:v>
      </x:c>
      <x:c r="I23" s="252" t="n">
        <x:f>Working_Capital!I14</x:f>
        <x:v>6491.978289426891</x:v>
      </x:c>
    </x:row>
    <x:row r="24" ht="19" customHeight="1">
      <x:c r="B24" s="22" t="str">
        <x:v>Other current operating liabilities</x:v>
      </x:c>
      <x:c r="C24" s="252" t="n">
        <x:f>Historic_BS!C25</x:f>
        <x:v>8593.02</x:v>
      </x:c>
      <x:c r="D24" s="252" t="n">
        <x:f>Historic_BS!D25</x:f>
        <x:v>7854.72</x:v>
      </x:c>
      <x:c r="E24" s="252" t="n">
        <x:f>Working_Capital!E15</x:f>
        <x:v>7110.500465440415</x:v>
      </x:c>
      <x:c r="F24" s="252" t="n">
        <x:f>Working_Capital!F15</x:f>
        <x:v>7521.583956483356</x:v>
      </x:c>
      <x:c r="G24" s="252" t="n">
        <x:f>Working_Capital!G15</x:f>
        <x:v>7968.132233048103</x:v>
      </x:c>
      <x:c r="H24" s="252" t="n">
        <x:f>Working_Capital!H15</x:f>
        <x:v>8492.68532009874</x:v>
      </x:c>
      <x:c r="I24" s="252" t="n">
        <x:f>Working_Capital!I15</x:f>
        <x:v>8937.009073756499</x:v>
      </x:c>
    </x:row>
    <x:row r="25" ht="22" customHeight="1">
      <x:c r="B25" s="96" t="str">
        <x:v>TOTAL CURRENT LIABILITIES</x:v>
      </x:c>
      <x:c r="C25" s="258" t="n">
        <x:f>Historic_BS!C26</x:f>
        <x:v>13122.14</x:v>
      </x:c>
      <x:c r="D25" s="258" t="n">
        <x:f>Historic_BS!D26</x:f>
        <x:v>15191.92</x:v>
      </x:c>
      <x:c r="E25" s="250" t="n">
        <x:f>SUM(E21:E24)</x:f>
        <x:v>13797.648964604334</x:v>
      </x:c>
      <x:c r="F25" s="250" t="n">
        <x:f>SUM(F21:F24)</x:f>
        <x:v>14383.986148485686</x:v>
      </x:c>
      <x:c r="G25" s="250" t="n">
        <x:f>SUM(G21:G24)</x:f>
        <x:v>15066.820174278531</x:v>
      </x:c>
      <x:c r="H25" s="250" t="n">
        <x:f>SUM(H21:H24)</x:f>
        <x:v>15763.953024094108</x:v>
      </x:c>
      <x:c r="I25" s="250" t="n">
        <x:f>SUM(I21:I24)</x:f>
        <x:v>16468.06736318339</x:v>
      </x:c>
    </x:row>
    <x:row r="26" ht="19" customHeight="1">
      <x:c r="B26" s="22"/>
      <x:c r="C26" s="228"/>
      <x:c r="D26" s="228"/>
      <x:c r="E26" s="228"/>
      <x:c r="F26" s="228"/>
      <x:c r="G26" s="228"/>
      <x:c r="H26" s="228"/>
      <x:c r="I26" s="228"/>
    </x:row>
    <x:row r="27" ht="19" customHeight="1">
      <x:c r="B27" s="22" t="str">
        <x:v>Noncurrent lease liabilities (held flat)</x:v>
      </x:c>
      <x:c r="C27" s="252" t="n">
        <x:f>Historic_BS!C28</x:f>
        <x:v>117.45</x:v>
      </x:c>
      <x:c r="D27" s="252" t="n">
        <x:f>Historic_BS!D28</x:f>
        <x:v>97.09</x:v>
      </x:c>
      <x:c r="E27" s="235" t="n">
        <x:f>D27</x:f>
        <x:v>97.09</x:v>
      </x:c>
      <x:c r="F27" s="235" t="n">
        <x:f>E27</x:f>
        <x:v>97.09</x:v>
      </x:c>
      <x:c r="G27" s="235" t="n">
        <x:f>F27</x:f>
        <x:v>97.09</x:v>
      </x:c>
      <x:c r="H27" s="235" t="n">
        <x:f>G27</x:f>
        <x:v>97.09</x:v>
      </x:c>
      <x:c r="I27" s="235" t="n">
        <x:f>H27</x:f>
        <x:v>97.09</x:v>
      </x:c>
    </x:row>
    <x:row r="28" ht="19" customHeight="1">
      <x:c r="B28" s="22" t="str">
        <x:v>Other noncurrent liabilities (held flat)</x:v>
      </x:c>
      <x:c r="C28" s="252" t="n">
        <x:f>Historic_BS!C29</x:f>
        <x:v>2869.4700000000003</x:v>
      </x:c>
      <x:c r="D28" s="252" t="n">
        <x:f>Historic_BS!D29</x:f>
        <x:v>3698.24</x:v>
      </x:c>
      <x:c r="E28" s="235" t="n">
        <x:f>D28</x:f>
        <x:v>3698.24</x:v>
      </x:c>
      <x:c r="F28" s="235" t="n">
        <x:f>E28</x:f>
        <x:v>3698.24</x:v>
      </x:c>
      <x:c r="G28" s="235" t="n">
        <x:f>F28</x:f>
        <x:v>3698.24</x:v>
      </x:c>
      <x:c r="H28" s="235" t="n">
        <x:f>G28</x:f>
        <x:v>3698.24</x:v>
      </x:c>
      <x:c r="I28" s="235" t="n">
        <x:f>H28</x:f>
        <x:v>3698.24</x:v>
      </x:c>
    </x:row>
    <x:row r="29" ht="22" customHeight="1">
      <x:c r="B29" s="96" t="str">
        <x:v>TOTAL NONCURRENT LIABILITIES</x:v>
      </x:c>
      <x:c r="C29" s="258" t="n">
        <x:f>Historic_BS!C30</x:f>
        <x:v>2986.92</x:v>
      </x:c>
      <x:c r="D29" s="258" t="n">
        <x:f>Historic_BS!D30</x:f>
        <x:v>3795.33</x:v>
      </x:c>
      <x:c r="E29" s="250" t="n">
        <x:f>SUM(E27:E28)</x:f>
        <x:v>3795.33</x:v>
      </x:c>
      <x:c r="F29" s="250" t="n">
        <x:f>SUM(F27:F28)</x:f>
        <x:v>3795.33</x:v>
      </x:c>
      <x:c r="G29" s="250" t="n">
        <x:f>SUM(G27:G28)</x:f>
        <x:v>3795.33</x:v>
      </x:c>
      <x:c r="H29" s="250" t="n">
        <x:f>SUM(H27:H28)</x:f>
        <x:v>3795.33</x:v>
      </x:c>
      <x:c r="I29" s="250" t="n">
        <x:f>SUM(I27:I28)</x:f>
        <x:v>3795.33</x:v>
      </x:c>
    </x:row>
    <x:row r="30" ht="22" customHeight="1">
      <x:c r="B30" s="96" t="str">
        <x:v>TOTAL LIABILITIES</x:v>
      </x:c>
      <x:c r="C30" s="258" t="n">
        <x:f>Historic_BS!C31</x:f>
        <x:v>16109.06</x:v>
      </x:c>
      <x:c r="D30" s="258" t="n">
        <x:f>Historic_BS!D31</x:f>
        <x:v>18987.25</x:v>
      </x:c>
      <x:c r="E30" s="250" t="n">
        <x:f>SUM(E25,E29)</x:f>
        <x:v>17592.978964604335</x:v>
      </x:c>
      <x:c r="F30" s="250" t="n">
        <x:f>SUM(F25,F29)</x:f>
        <x:v>18179.316148485686</x:v>
      </x:c>
      <x:c r="G30" s="250" t="n">
        <x:f>SUM(G25,G29)</x:f>
        <x:v>18862.150174278533</x:v>
      </x:c>
      <x:c r="H30" s="250" t="n">
        <x:f>SUM(H25,H29)</x:f>
        <x:v>19559.283024094108</x:v>
      </x:c>
      <x:c r="I30" s="250" t="n">
        <x:f>SUM(I25,I29)</x:f>
        <x:v>20263.397363183387</x:v>
      </x:c>
    </x:row>
    <x:row r="31" ht="19" customHeight="1">
      <x:c r="B31" s="22"/>
      <x:c r="C31" s="228"/>
      <x:c r="D31" s="228"/>
      <x:c r="E31" s="228"/>
      <x:c r="F31" s="228"/>
      <x:c r="G31" s="228"/>
      <x:c r="H31" s="228"/>
      <x:c r="I31" s="228"/>
    </x:row>
    <x:row r="32" ht="22" customHeight="1">
      <x:c r="B32" s="96" t="str">
        <x:v>Book value of equity (retained earnings roll-forward)</x:v>
      </x:c>
      <x:c r="C32" s="258" t="n">
        <x:f>Historic_BS!C33</x:f>
        <x:v>67900.14</x:v>
      </x:c>
      <x:c r="D32" s="258" t="n">
        <x:f>Historic_BS!D33</x:f>
        <x:v>69928.61</x:v>
      </x:c>
      <x:c r="E32" s="258" t="n">
        <x:f>D32+Income_Statement!E25-Cash_Flow!E13</x:f>
        <x:v>72231.1897364075</x:v>
      </x:c>
      <x:c r="F32" s="258" t="n">
        <x:f>E32+Income_Statement!F25-Cash_Flow!F13</x:f>
        <x:v>75047.40781608938</x:v>
      </x:c>
      <x:c r="G32" s="258" t="n">
        <x:f>F32+Income_Statement!G25-Cash_Flow!G13</x:f>
        <x:v>78256.47396479703</x:v>
      </x:c>
      <x:c r="H32" s="258" t="n">
        <x:f>G32+Income_Statement!H25-Cash_Flow!H13</x:f>
        <x:v>81733.8165257138</x:v>
      </x:c>
      <x:c r="I32" s="258" t="n">
        <x:f>H32+Income_Statement!I25-Cash_Flow!I13</x:f>
        <x:v>85470.39024711466</x:v>
      </x:c>
    </x:row>
    <x:row r="33" ht="22" customHeight="1">
      <x:c r="B33" s="108" t="str">
        <x:v>TOTAL LIABILITIES &amp; EQUITY</x:v>
      </x:c>
      <x:c r="C33" s="259" t="n">
        <x:f>Historic_BS!C34</x:f>
        <x:v>84009.2</x:v>
      </x:c>
      <x:c r="D33" s="259" t="n">
        <x:f>Historic_BS!D34</x:f>
        <x:v>88915.86</x:v>
      </x:c>
      <x:c r="E33" s="233" t="n">
        <x:f>SUM(E30,E32)</x:f>
        <x:v>89824.16870101183</x:v>
      </x:c>
      <x:c r="F33" s="233" t="n">
        <x:f>SUM(F30,F32)</x:f>
        <x:v>93226.72396457507</x:v>
      </x:c>
      <x:c r="G33" s="233" t="n">
        <x:f>SUM(G30,G32)</x:f>
        <x:v>97118.62413907556</x:v>
      </x:c>
      <x:c r="H33" s="233" t="n">
        <x:f>SUM(H30,H32)</x:f>
        <x:v>101293.09954980791</x:v>
      </x:c>
      <x:c r="I33" s="233" t="n">
        <x:f>SUM(I30,I32)</x:f>
        <x:v>105733.78761029805</x:v>
      </x:c>
    </x:row>
    <x:row r="34" ht="22" customHeight="1">
      <x:c r="B34" s="108" t="str">
        <x:v>BALANCE-SHEET RESIDUAL (0 = passed)</x:v>
      </x:c>
      <x:c r="C34" s="310" t="n">
        <x:f>Historic_BS!C35</x:f>
        <x:v>0</x:v>
      </x:c>
      <x:c r="D34" s="310" t="n">
        <x:f>Historic_BS!D35</x:f>
        <x:v>0</x:v>
      </x:c>
      <x:c r="E34" s="306" t="n">
        <x:f>E18-E33</x:f>
        <x:v>0</x:v>
      </x:c>
      <x:c r="F34" s="306" t="n">
        <x:f>F18-F33</x:f>
        <x:v>1.4551915228366852e-11</x:v>
      </x:c>
      <x:c r="G34" s="306" t="n">
        <x:f>G18-G33</x:f>
        <x:v>0</x:v>
      </x:c>
      <x:c r="H34" s="306" t="n">
        <x:f>H18-H33</x:f>
        <x:v>0</x:v>
      </x:c>
      <x:c r="I34" s="306" t="n">
        <x:f>I18-I33</x:f>
        <x:v>1.4551915228366852e-11</x:v>
      </x:c>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27" customHeight="1">
      <x:c r="B37" s="120" t="str">
        <x:v>FY27 acquisition cash spend capitalizes ₹3,498 crore into operating fixed assets as a modeling placeholder pending acquired asset purchase-price allocation; split PPE / goodwill / intangibles in a later revision.</x:v>
      </x:c>
      <x:c r="C37" s="237"/>
      <x:c r="D37" s="237"/>
      <x:c r="E37" s="237"/>
      <x:c r="F37" s="237"/>
      <x:c r="G37" s="237"/>
      <x:c r="H37" s="237"/>
      <x:c r="I37" s="237"/>
    </x:row>
    <x:row r="38" ht="27" customHeight="1">
      <x:c r="B38" s="120" t="str">
        <x:v>Noncurrent strategic investments include ITC Hotels associate interest and ITC Infotech interests. Task 3 must identify and exclude double counts before SOTP.</x:v>
      </x:c>
      <x:c r="C38" s="237"/>
      <x:c r="D38" s="237"/>
      <x:c r="E38" s="237"/>
      <x:c r="F38" s="237"/>
      <x:c r="G38" s="237"/>
      <x:c r="H38" s="237"/>
      <x:c r="I38" s="237"/>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19" customHeight="1">
      <x:c r="B48" s="22"/>
      <x:c r="C48" s="228"/>
      <x:c r="D48" s="228"/>
      <x:c r="E48" s="228"/>
      <x:c r="F48" s="228"/>
      <x:c r="G48" s="228"/>
      <x:c r="H48" s="228"/>
      <x:c r="I48" s="22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5:I5"/>
    <x:mergeCell ref="B20:I20"/>
    <x:mergeCell ref="B37:I37"/>
    <x:mergeCell ref="B38:I38"/>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THREE-STATEMENT CASH FLOW</x:v>
      </x:c>
      <x:c r="C2" s="4"/>
      <x:c r="D2" s="4"/>
      <x:c r="E2" s="4"/>
      <x:c r="F2" s="4"/>
      <x:c r="G2" s="4"/>
      <x:c r="H2" s="4"/>
      <x:c r="I2" s="4"/>
    </x:row>
    <x:row r="3" ht="23" customHeight="1">
      <x:c r="B3" s="9" t="str">
        <x:v>Cash and current investments are separately rolled forward; FY25–FY26 source historical lines are not reforecast.</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19" customHeight="1">
      <x:c r="B5" s="22"/>
      <x:c r="C5" s="228"/>
      <x:c r="D5" s="228"/>
      <x:c r="E5" s="228"/>
      <x:c r="F5" s="228"/>
      <x:c r="G5" s="228"/>
      <x:c r="H5" s="228"/>
      <x:c r="I5" s="228"/>
    </x:row>
    <x:row r="6" ht="21" customHeight="1">
      <x:c r="B6" s="32" t="str">
        <x:v>STANDALONE FINANCIAL CASH FLOWS</x:v>
      </x:c>
      <x:c r="C6" s="229"/>
      <x:c r="D6" s="229"/>
      <x:c r="E6" s="229"/>
      <x:c r="F6" s="229"/>
      <x:c r="G6" s="229"/>
      <x:c r="H6" s="229"/>
      <x:c r="I6" s="229"/>
    </x:row>
    <x:row r="7" ht="19" customHeight="1">
      <x:c r="B7" s="22" t="str">
        <x:v>Net income from continuing operations</x:v>
      </x:c>
      <x:c r="C7" s="252" t="n">
        <x:f>Income_Statement!C25</x:f>
        <x:v>20091.85</x:v>
      </x:c>
      <x:c r="D7" s="252" t="n">
        <x:f>Income_Statement!D25</x:f>
        <x:v>20286.420000000002</x:v>
      </x:c>
      <x:c r="E7" s="252" t="n">
        <x:f>Income_Statement!E25</x:f>
        <x:v>15350.531576050002</x:v>
      </x:c>
      <x:c r="F7" s="252" t="n">
        <x:f>Income_Statement!F25</x:f>
        <x:v>16565.988704011124</x:v>
      </x:c>
      <x:c r="G7" s="252" t="n">
        <x:f>Income_Statement!G25</x:f>
        <x:v>17828.145270597972</x:v>
      </x:c>
      <x:c r="H7" s="252" t="n">
        <x:f>Income_Statement!H25</x:f>
        <x:v>19318.56978287101</x:v>
      </x:c>
      <x:c r="I7" s="252" t="n">
        <x:f>Income_Statement!I25</x:f>
        <x:v>20758.74289667144</x:v>
      </x:c>
    </x:row>
    <x:row r="8" ht="19" customHeight="1">
      <x:c r="B8" s="22" t="str">
        <x:v>Add back depreciation and amortisation</x:v>
      </x:c>
      <x:c r="C8" s="252" t="n">
        <x:f>Historic_IS!C15</x:f>
        <x:v>1441.93</x:v>
      </x:c>
      <x:c r="D8" s="252" t="n">
        <x:f>Historic_IS!D15</x:f>
        <x:v>1473.99</x:v>
      </x:c>
      <x:c r="E8" s="252" t="n">
        <x:f>Income_Statement!E31</x:f>
        <x:v>1600</x:v>
      </x:c>
      <x:c r="F8" s="252" t="n">
        <x:f>Income_Statement!F31</x:f>
        <x:v>1750</x:v>
      </x:c>
      <x:c r="G8" s="252" t="n">
        <x:f>Income_Statement!G31</x:f>
        <x:v>1800</x:v>
      </x:c>
      <x:c r="H8" s="252" t="n">
        <x:f>Income_Statement!H31</x:f>
        <x:v>1900</x:v>
      </x:c>
      <x:c r="I8" s="252" t="n">
        <x:f>Income_Statement!I31</x:f>
        <x:v>2000</x:v>
      </x:c>
    </x:row>
    <x:row r="9" ht="19" customHeight="1">
      <x:c r="B9" s="22" t="str">
        <x:v>Less change in operating NWC</x:v>
      </x:c>
      <x:c r="C9" s="235" t="n">
        <x:f>0</x:f>
        <x:v>0</x:v>
      </x:c>
      <x:c r="D9" s="235" t="n">
        <x:f>0</x:f>
        <x:v>0</x:v>
      </x:c>
      <x:c r="E9" s="252" t="n">
        <x:f>-Working_Capital!E19</x:f>
        <x:v>384.6774751950088</x:v>
      </x:c>
      <x:c r="F9" s="252" t="n">
        <x:f>-Working_Capital!F19</x:f>
        <x:v>-696.2762976001341</x:v>
      </x:c>
      <x:c r="G9" s="252" t="n">
        <x:f>-Working_Capital!G19</x:f>
        <x:v>-498.12378993828133</x:v>
      </x:c>
      <x:c r="H9" s="252" t="n">
        <x:f>-Working_Capital!H19</x:f>
        <x:v>-630.5390315416353</x:v>
      </x:c>
      <x:c r="I9" s="252" t="n">
        <x:f>-Working_Capital!I19</x:f>
        <x:v>-532.6077476811224</x:v>
      </x:c>
    </x:row>
    <x:row r="10" ht="22" customHeight="1">
      <x:c r="B10" s="108" t="str">
        <x:v>OPERATING CASH FLOW</x:v>
      </x:c>
      <x:c r="C10" s="259" t="n">
        <x:f>Historic_CF!C7</x:f>
        <x:v>16751.01</x:v>
      </x:c>
      <x:c r="D10" s="259" t="n">
        <x:f>Historic_CF!D7</x:f>
        <x:v>17094.97</x:v>
      </x:c>
      <x:c r="E10" s="233" t="n">
        <x:f>SUM(E7:E9)</x:f>
        <x:v>17335.20905124501</x:v>
      </x:c>
      <x:c r="F10" s="233" t="n">
        <x:f>SUM(F7:F9)</x:f>
        <x:v>17619.71240641099</x:v>
      </x:c>
      <x:c r="G10" s="233" t="n">
        <x:f>SUM(G7:G9)</x:f>
        <x:v>19130.021480659692</x:v>
      </x:c>
      <x:c r="H10" s="233" t="n">
        <x:f>SUM(H7:H9)</x:f>
        <x:v>20588.030751329374</x:v>
      </x:c>
      <x:c r="I10" s="233" t="n">
        <x:f>SUM(I7:I9)</x:f>
        <x:v>22226.135148990317</x:v>
      </x:c>
    </x:row>
    <x:row r="11" ht="19" customHeight="1">
      <x:c r="B11" s="22"/>
      <x:c r="C11" s="228"/>
      <x:c r="D11" s="228"/>
      <x:c r="E11" s="228"/>
      <x:c r="F11" s="228"/>
      <x:c r="G11" s="228"/>
      <x:c r="H11" s="228"/>
      <x:c r="I11" s="228"/>
    </x:row>
    <x:row r="12" ht="19" customHeight="1">
      <x:c r="B12" s="22" t="str">
        <x:v>Cash capex</x:v>
      </x:c>
      <x:c r="C12" s="252" t="n">
        <x:f>-Historic_CF!C11</x:f>
        <x:v>1788.64</x:v>
      </x:c>
      <x:c r="D12" s="252" t="n">
        <x:f>-Historic_CF!D11</x:f>
        <x:v>2069.3</x:v>
      </x:c>
      <x:c r="E12" s="252" t="n">
        <x:f>Assumptions!E43</x:f>
        <x:v>2600</x:v>
      </x:c>
      <x:c r="F12" s="252" t="n">
        <x:f>Assumptions!F43</x:f>
        <x:v>2800</x:v>
      </x:c>
      <x:c r="G12" s="252" t="n">
        <x:f>Assumptions!G43</x:f>
        <x:v>2900</x:v>
      </x:c>
      <x:c r="H12" s="252" t="n">
        <x:f>Assumptions!H43</x:f>
        <x:v>3100</x:v>
      </x:c>
      <x:c r="I12" s="252" t="n">
        <x:f>Assumptions!I43</x:f>
        <x:v>3300</x:v>
      </x:c>
    </x:row>
    <x:row r="13" ht="19" customHeight="1">
      <x:c r="B13" s="22" t="str">
        <x:v>Dividend cash distribution / shareholders</x:v>
      </x:c>
      <x:c r="C13" s="252" t="n">
        <x:f>-Historic_CF!C12</x:f>
        <x:v>17477.2</x:v>
      </x:c>
      <x:c r="D13" s="252" t="n">
        <x:f>-Historic_CF!D12</x:f>
        <x:v>17967.58</x:v>
      </x:c>
      <x:c r="E13" s="252" t="n">
        <x:f>Income_Statement!E25*Assumptions!E45</x:f>
        <x:v>13047.951839642501</x:v>
      </x:c>
      <x:c r="F13" s="252" t="n">
        <x:f>Income_Statement!F25*Assumptions!F45</x:f>
        <x:v>13749.770624329232</x:v>
      </x:c>
      <x:c r="G13" s="252" t="n">
        <x:f>Income_Statement!G25*Assumptions!G45</x:f>
        <x:v>14619.079121890336</x:v>
      </x:c>
      <x:c r="H13" s="252" t="n">
        <x:f>Income_Statement!H25*Assumptions!H45</x:f>
        <x:v>15841.227221954228</x:v>
      </x:c>
      <x:c r="I13" s="252" t="n">
        <x:f>Income_Statement!I25*Assumptions!I45</x:f>
        <x:v>17022.16917527058</x:v>
      </x:c>
    </x:row>
    <x:row r="14" ht="19" customHeight="1">
      <x:c r="B14" s="22" t="str">
        <x:v>Century acquired business cash spend</x:v>
      </x:c>
      <x:c r="C14" s="235" t="n">
        <x:f>0</x:f>
        <x:v>0</x:v>
      </x:c>
      <x:c r="D14" s="235" t="n">
        <x:f>0</x:f>
        <x:v>0</x:v>
      </x:c>
      <x:c r="E14" s="252" t="n">
        <x:f>Assumptions!E44</x:f>
        <x:v>3498</x:v>
      </x:c>
      <x:c r="F14" s="252" t="n">
        <x:f>Assumptions!F44</x:f>
        <x:v>0</x:v>
      </x:c>
      <x:c r="G14" s="252" t="n">
        <x:f>Assumptions!G44</x:f>
        <x:v>0</x:v>
      </x:c>
      <x:c r="H14" s="252" t="n">
        <x:f>Assumptions!H44</x:f>
        <x:v>0</x:v>
      </x:c>
      <x:c r="I14" s="252" t="n">
        <x:f>Assumptions!I44</x:f>
        <x:v>0</x:v>
      </x:c>
    </x:row>
    <x:row r="15" ht="19" customHeight="1">
      <x:c r="B15" s="22" t="str">
        <x:v>Net borrowing raised/(repaid)</x:v>
      </x:c>
      <x:c r="C15" s="235" t="n">
        <x:f>0</x:f>
        <x:v>0</x:v>
      </x:c>
      <x:c r="D15" s="235" t="n">
        <x:f>0</x:f>
        <x:v>0</x:v>
      </x:c>
      <x:c r="E15" s="252" t="n">
        <x:f>Assumptions!E46</x:f>
        <x:v>-226.22</x:v>
      </x:c>
      <x:c r="F15" s="252" t="n">
        <x:f>Assumptions!F46</x:f>
        <x:v>-200</x:v>
      </x:c>
      <x:c r="G15" s="252" t="n">
        <x:f>Assumptions!G46</x:f>
        <x:v>-200</x:v>
      </x:c>
      <x:c r="H15" s="252" t="n">
        <x:f>Assumptions!H46</x:f>
        <x:v>-200</x:v>
      </x:c>
      <x:c r="I15" s="252" t="n">
        <x:f>Assumptions!I46</x:f>
        <x:v>-200</x:v>
      </x:c>
    </x:row>
    <x:row r="16" ht="22" customHeight="1">
      <x:c r="B16" s="96" t="str">
        <x:v>Cash available pre-investment sweep</x:v>
      </x:c>
      <x:c r="C16" s="250" t="n">
        <x:f>0</x:f>
        <x:v>0</x:v>
      </x:c>
      <x:c r="D16" s="250" t="n">
        <x:f>0</x:f>
        <x:v>0</x:v>
      </x:c>
      <x:c r="E16" s="250" t="n">
        <x:f>E10-E12-E13-E14+E15</x:f>
        <x:v>-2036.9627883974924</x:v>
      </x:c>
      <x:c r="F16" s="250" t="n">
        <x:f>F10-F12-F13-F14+F15</x:f>
        <x:v>869.9417820817562</x:v>
      </x:c>
      <x:c r="G16" s="250" t="n">
        <x:f>G10-G12-G13-G14+G15</x:f>
        <x:v>1410.9423587693564</x:v>
      </x:c>
      <x:c r="H16" s="250" t="n">
        <x:f>H10-H12-H13-H14+H15</x:f>
        <x:v>1446.8035293751454</x:v>
      </x:c>
      <x:c r="I16" s="250" t="n">
        <x:f>I10-I12-I13-I14+I15</x:f>
        <x:v>1703.9659737197362</x:v>
      </x:c>
    </x:row>
    <x:row r="17" ht="22" customHeight="1">
      <x:c r="B17" s="108" t="str">
        <x:v>CLOSING LIQUID CURRENT INVESTMENTS</x:v>
      </x:c>
      <x:c r="C17" s="259" t="n">
        <x:f>Balance_Sheet!C6</x:f>
        <x:v>15285.91</x:v>
      </x:c>
      <x:c r="D17" s="259" t="n">
        <x:f>Balance_Sheet!D6</x:f>
        <x:v>19701.54</x:v>
      </x:c>
      <x:c r="E17" s="259" t="n">
        <x:f>MAX(0,Balance_Sheet!D6+E16-(Assumptions!E47-Balance_Sheet!D7))</x:f>
        <x:v>17624.597211602508</x:v>
      </x:c>
      <x:c r="F17" s="259" t="n">
        <x:f>MAX(0,Balance_Sheet!E6+F16-(Assumptions!F47-Balance_Sheet!E7))</x:f>
        <x:v>18494.538993684262</x:v>
      </x:c>
      <x:c r="G17" s="259" t="n">
        <x:f>MAX(0,Balance_Sheet!F6+G16-(Assumptions!G47-Balance_Sheet!F7))</x:f>
        <x:v>19905.481352453622</x:v>
      </x:c>
      <x:c r="H17" s="259" t="n">
        <x:f>MAX(0,Balance_Sheet!G6+H16-(Assumptions!H47-Balance_Sheet!G7))</x:f>
        <x:v>21352.284881828768</x:v>
      </x:c>
      <x:c r="I17" s="259" t="n">
        <x:f>MAX(0,Balance_Sheet!H6+I16-(Assumptions!I47-Balance_Sheet!H7))</x:f>
        <x:v>23056.250855548504</x:v>
      </x:c>
    </x:row>
    <x:row r="18" ht="22" customHeight="1">
      <x:c r="B18" s="108" t="str">
        <x:v>CLOSING CASH AND CASH EQUIVALENTS</x:v>
      </x:c>
      <x:c r="C18" s="259" t="n">
        <x:f>Balance_Sheet!C7</x:f>
        <x:v>222.06</x:v>
      </x:c>
      <x:c r="D18" s="259" t="n">
        <x:f>Balance_Sheet!D7</x:f>
        <x:v>110.02</x:v>
      </x:c>
      <x:c r="E18" s="259" t="n">
        <x:f>Balance_Sheet!D7+E16-(E17-Balance_Sheet!D6)</x:f>
        <x:v>150.00000000000068</x:v>
      </x:c>
      <x:c r="F18" s="259" t="n">
        <x:f>Balance_Sheet!E7+F16-(F17-Balance_Sheet!E6)</x:f>
        <x:v>150.0000000000025</x:v>
      </x:c>
      <x:c r="G18" s="259" t="n">
        <x:f>Balance_Sheet!F7+G16-(G17-Balance_Sheet!F6)</x:f>
        <x:v>149.99999999999886</x:v>
      </x:c>
      <x:c r="H18" s="259" t="n">
        <x:f>Balance_Sheet!G7+H16-(H17-Balance_Sheet!G6)</x:f>
        <x:v>149.99999999999886</x:v>
      </x:c>
      <x:c r="I18" s="259" t="n">
        <x:f>Balance_Sheet!H7+I16-(I17-Balance_Sheet!H6)</x:f>
        <x:v>149.99999999999886</x:v>
      </x:c>
    </x:row>
    <x:row r="19" ht="19" customHeight="1">
      <x:c r="B19" s="22" t="str">
        <x:v>Net cash release/(purchase) from liquid investments</x:v>
      </x:c>
      <x:c r="C19" s="235" t="n">
        <x:f>0</x:f>
        <x:v>0</x:v>
      </x:c>
      <x:c r="D19" s="235" t="n">
        <x:f>0</x:f>
        <x:v>0</x:v>
      </x:c>
      <x:c r="E19" s="252" t="n">
        <x:f>Balance_Sheet!D6-E17</x:f>
        <x:v>2076.942788397493</x:v>
      </x:c>
      <x:c r="F19" s="252" t="n">
        <x:f>Balance_Sheet!E6-F17</x:f>
        <x:v>-869.9417820817544</x:v>
      </x:c>
      <x:c r="G19" s="252" t="n">
        <x:f>Balance_Sheet!F6-G17</x:f>
        <x:v>-1410.94235876936</x:v>
      </x:c>
      <x:c r="H19" s="252" t="n">
        <x:f>Balance_Sheet!G6-H17</x:f>
        <x:v>-1446.8035293751454</x:v>
      </x:c>
      <x:c r="I19" s="252" t="n">
        <x:f>Balance_Sheet!H6-I17</x:f>
        <x:v>-1703.9659737197362</x:v>
      </x:c>
    </x:row>
    <x:row r="20" ht="22" customHeight="1">
      <x:c r="B20" s="96" t="str">
        <x:v>NET INVESTING CASH FLOW</x:v>
      </x:c>
      <x:c r="C20" s="258" t="n">
        <x:f>Historic_CF!C8</x:f>
        <x:v>141.48</x:v>
      </x:c>
      <x:c r="D20" s="258" t="n">
        <x:f>Historic_CF!D8</x:f>
        <x:v>-1538.38</x:v>
      </x:c>
      <x:c r="E20" s="250" t="n">
        <x:f>-E12-E14+E19</x:f>
        <x:v>-4021.057211602507</x:v>
      </x:c>
      <x:c r="F20" s="250" t="n">
        <x:f>-F12-F14+F19</x:f>
        <x:v>-3669.9417820817544</x:v>
      </x:c>
      <x:c r="G20" s="250" t="n">
        <x:f>-G12-G14+G19</x:f>
        <x:v>-4310.94235876936</x:v>
      </x:c>
      <x:c r="H20" s="250" t="n">
        <x:f>-H12-H14+H19</x:f>
        <x:v>-4546.803529375145</x:v>
      </x:c>
      <x:c r="I20" s="250" t="n">
        <x:f>-I12-I14+I19</x:f>
        <x:v>-5003.965973719736</x:v>
      </x:c>
    </x:row>
    <x:row r="21" ht="22" customHeight="1">
      <x:c r="B21" s="96" t="str">
        <x:v>CFO LESS CAPITAL SPENDING</x:v>
      </x:c>
      <x:c r="C21" s="258" t="n">
        <x:f>Historic_CF!C13</x:f>
        <x:v>14962.369999999999</x:v>
      </x:c>
      <x:c r="D21" s="258" t="n">
        <x:f>Historic_CF!D13</x:f>
        <x:v>15025.670000000002</x:v>
      </x:c>
      <x:c r="E21" s="250" t="n">
        <x:f>E10-E12</x:f>
        <x:v>14735.209051245009</x:v>
      </x:c>
      <x:c r="F21" s="250" t="n">
        <x:f>F10-F12</x:f>
        <x:v>14819.712406410988</x:v>
      </x:c>
      <x:c r="G21" s="250" t="n">
        <x:f>G10-G12</x:f>
        <x:v>16230.021480659692</x:v>
      </x:c>
      <x:c r="H21" s="250" t="n">
        <x:f>H10-H12</x:f>
        <x:v>17488.030751329374</x:v>
      </x:c>
      <x:c r="I21" s="250" t="n">
        <x:f>I10-I12</x:f>
        <x:v>18926.135148990317</x:v>
      </x:c>
    </x:row>
    <x:row r="22" ht="22" customHeight="1">
      <x:c r="B22" s="96" t="str">
        <x:v>NET FINANCING CASH FLOW</x:v>
      </x:c>
      <x:c r="C22" s="258" t="n">
        <x:f>Historic_CF!C9</x:f>
        <x:v>-16765.62</x:v>
      </x:c>
      <x:c r="D22" s="258" t="n">
        <x:f>Historic_CF!D9</x:f>
        <x:v>-15694.23</x:v>
      </x:c>
      <x:c r="E22" s="250" t="n">
        <x:f>-E13+E15</x:f>
        <x:v>-13274.1718396425</x:v>
      </x:c>
      <x:c r="F22" s="250" t="n">
        <x:f>-F13+F15</x:f>
        <x:v>-13949.770624329232</x:v>
      </x:c>
      <x:c r="G22" s="250" t="n">
        <x:f>-G13+G15</x:f>
        <x:v>-14819.079121890336</x:v>
      </x:c>
      <x:c r="H22" s="250" t="n">
        <x:f>-H13+H15</x:f>
        <x:v>-16041.227221954228</x:v>
      </x:c>
      <x:c r="I22" s="250" t="n">
        <x:f>-I13+I15</x:f>
        <x:v>-17222.16917527058</x:v>
      </x:c>
    </x:row>
    <x:row r="23" ht="22" customHeight="1">
      <x:c r="B23" s="96" t="str">
        <x:v>TOTAL CASH MOVEMENT</x:v>
      </x:c>
      <x:c r="C23" s="258" t="n">
        <x:f>Historic_CF!C10</x:f>
        <x:v>126.86999999999898</x:v>
      </x:c>
      <x:c r="D23" s="258" t="n">
        <x:f>Historic_CF!D10</x:f>
        <x:v>-137.63999999999942</x:v>
      </x:c>
      <x:c r="E23" s="250" t="n">
        <x:f>SUM(E10,E20,E22)</x:f>
        <x:v>39.98000000000138</x:v>
      </x:c>
      <x:c r="F23" s="250" t="n">
        <x:f>SUM(F10,F20,F22)</x:f>
        <x:v>1.8189894035458565e-12</x:v>
      </x:c>
      <x:c r="G23" s="250" t="n">
        <x:f>SUM(G10,G20,G22)</x:f>
        <x:v>-3.637978807091713e-12</x:v>
      </x:c>
      <x:c r="H23" s="250" t="n">
        <x:f>SUM(H10,H20,H22)</x:f>
        <x:v>0</x:v>
      </x:c>
      <x:c r="I23" s="250" t="n">
        <x:f>SUM(I10,I20,I22)</x:f>
        <x:v>0</x:v>
      </x:c>
    </x:row>
    <x:row r="24" ht="22" customHeight="1">
      <x:c r="B24" s="108" t="str">
        <x:v>Cash reconciliation check (0 = pass)</x:v>
      </x:c>
      <x:c r="C24" s="307"/>
      <x:c r="D24" s="307"/>
      <x:c r="E24" s="310" t="n">
        <x:f>E18-Balance_Sheet!D7-E23</x:f>
        <x:v>-6.963318810448982e-13</x:v>
      </x:c>
      <x:c r="F24" s="310" t="n">
        <x:f>F18-Balance_Sheet!E7-F23</x:f>
        <x:v>0</x:v>
      </x:c>
      <x:c r="G24" s="310" t="n">
        <x:f>G18-Balance_Sheet!F7-G23</x:f>
        <x:v>0</x:v>
      </x:c>
      <x:c r="H24" s="310" t="n">
        <x:f>H18-Balance_Sheet!G7-H23</x:f>
        <x:v>0</x:v>
      </x:c>
      <x:c r="I24" s="310" t="n">
        <x:f>I18-Balance_Sheet!H7-I23</x:f>
        <x:v>0</x:v>
      </x:c>
    </x:row>
    <x:row r="25" ht="19" customHeight="1">
      <x:c r="B25" s="22"/>
      <x:c r="C25" s="228"/>
      <x:c r="D25" s="228"/>
      <x:c r="E25" s="228"/>
      <x:c r="F25" s="228"/>
      <x:c r="G25" s="228"/>
      <x:c r="H25" s="228"/>
      <x:c r="I25" s="228"/>
    </x:row>
    <x:row r="26" ht="19" customHeight="1">
      <x:c r="B26" s="22"/>
      <x:c r="C26" s="228"/>
      <x:c r="D26" s="228"/>
      <x:c r="E26" s="228"/>
      <x:c r="F26" s="228"/>
      <x:c r="G26" s="228"/>
      <x:c r="H26" s="228"/>
      <x:c r="I26" s="228"/>
    </x:row>
    <x:row r="27" ht="27" customHeight="1">
      <x:c r="B27" s="120" t="str">
        <x:v>If required net capital returns exceed operating cash plus current investments, the sweep can go to zero and end-year cash falls below the assumed minimum; Model_Checks alerts for liquidity deficits.</x:v>
      </x:c>
      <x:c r="C27" s="237"/>
      <x:c r="D27" s="237"/>
      <x:c r="E27" s="237"/>
      <x:c r="F27" s="237"/>
      <x:c r="G27" s="237"/>
      <x:c r="H27" s="237"/>
      <x:c r="I27" s="237"/>
    </x:row>
    <x:row r="28" ht="27" customHeight="1">
      <x:c r="B28" s="120" t="str">
        <x:v>Cash flow includes an explicit investment-liquidation line. In FY26 historical statutory cash flow, treasury/security investment sales and purchases are not the same as the modeled future liquid investment sweep.</x:v>
      </x:c>
      <x:c r="C28" s="237"/>
      <x:c r="D28" s="237"/>
      <x:c r="E28" s="237"/>
      <x:c r="F28" s="237"/>
      <x:c r="G28" s="237"/>
      <x:c r="H28" s="237"/>
      <x:c r="I28" s="237"/>
    </x:row>
    <x:row r="29" ht="19" customHeight="1">
      <x:c r="B29" s="22"/>
      <x:c r="C29" s="228"/>
      <x:c r="D29" s="228"/>
      <x:c r="E29" s="228"/>
      <x:c r="F29" s="228"/>
      <x:c r="G29" s="228"/>
      <x:c r="H29" s="228"/>
      <x:c r="I29" s="228"/>
    </x:row>
    <x:row r="30" ht="19" customHeight="1">
      <x:c r="B30" s="22"/>
      <x:c r="C30" s="228"/>
      <x:c r="D30" s="228"/>
      <x:c r="E30" s="228"/>
      <x:c r="F30" s="228"/>
      <x:c r="G30" s="228"/>
      <x:c r="H30" s="228"/>
      <x:c r="I30" s="228"/>
    </x:row>
    <x:row r="31" ht="19" customHeight="1">
      <x:c r="B31" s="22"/>
      <x:c r="C31" s="228"/>
      <x:c r="D31" s="228"/>
      <x:c r="E31" s="228"/>
      <x:c r="F31" s="228"/>
      <x:c r="G31" s="228"/>
      <x:c r="H31" s="228"/>
      <x:c r="I31" s="228"/>
    </x:row>
    <x:row r="32" ht="19" customHeight="1">
      <x:c r="B32" s="22"/>
      <x:c r="C32" s="228"/>
      <x:c r="D32" s="228"/>
      <x:c r="E32" s="228"/>
      <x:c r="F32" s="228"/>
      <x:c r="G32" s="228"/>
      <x:c r="H32" s="228"/>
      <x:c r="I32" s="228"/>
    </x:row>
    <x:row r="33" ht="19" customHeight="1">
      <x:c r="B33" s="22"/>
      <x:c r="C33" s="228"/>
      <x:c r="D33" s="228"/>
      <x:c r="E33" s="228"/>
      <x:c r="F33" s="228"/>
      <x:c r="G33" s="228"/>
      <x:c r="H33" s="228"/>
      <x:c r="I33" s="228"/>
    </x:row>
    <x:row r="34" ht="19" customHeight="1">
      <x:c r="B34" s="22"/>
      <x:c r="C34" s="228"/>
      <x:c r="D34" s="228"/>
      <x:c r="E34" s="228"/>
      <x:c r="F34" s="228"/>
      <x:c r="G34" s="228"/>
      <x:c r="H34" s="228"/>
      <x:c r="I34" s="228"/>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19" customHeight="1">
      <x:c r="B38" s="22"/>
      <x:c r="C38" s="228"/>
      <x:c r="D38" s="228"/>
      <x:c r="E38" s="228"/>
      <x:c r="F38" s="228"/>
      <x:c r="G38" s="228"/>
      <x:c r="H38" s="228"/>
      <x:c r="I38" s="228"/>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19" customHeight="1">
      <x:c r="B48" s="22"/>
      <x:c r="C48" s="228"/>
      <x:c r="D48" s="228"/>
      <x:c r="E48" s="228"/>
      <x:c r="F48" s="228"/>
      <x:c r="G48" s="228"/>
      <x:c r="H48" s="228"/>
      <x:c r="I48" s="22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27:I27"/>
    <x:mergeCell ref="B28:I28"/>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3" hidden="0" customWidth="1"/>
  </x:cols>
  <x:sheetData>
    <x:row r="2" ht="32" customHeight="1">
      <x:c r="B2" s="4" t="str">
        <x:v>MODEL RECONCILIATION &amp; QUALITY CONTROL</x:v>
      </x:c>
      <x:c r="C2" s="4"/>
      <x:c r="D2" s="4"/>
      <x:c r="E2" s="4"/>
      <x:c r="F2" s="4"/>
      <x:c r="G2" s="4"/>
      <x:c r="H2" s="4"/>
      <x:c r="I2" s="4"/>
    </x:row>
    <x:row r="3" ht="23" customHeight="1">
      <x:c r="B3" s="9" t="str">
        <x:v>All errors zero for a balanced forecast, while economic warning flags can show nonzero without formula failure.</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row>
    <x:row r="5" ht="19" customHeight="1">
      <x:c r="B5" s="22"/>
      <x:c r="C5" s="228"/>
      <x:c r="D5" s="228"/>
      <x:c r="E5" s="228"/>
      <x:c r="F5" s="228"/>
      <x:c r="G5" s="228"/>
      <x:c r="H5" s="228"/>
      <x:c r="I5" s="228"/>
    </x:row>
    <x:row r="6" ht="21" customHeight="1">
      <x:c r="B6" s="32" t="str">
        <x:v>ZERO-ERROR MODEL RECONCILIATION</x:v>
      </x:c>
      <x:c r="C6" s="229"/>
      <x:c r="D6" s="229"/>
      <x:c r="E6" s="229"/>
      <x:c r="F6" s="229"/>
      <x:c r="G6" s="229"/>
      <x:c r="H6" s="229"/>
      <x:c r="I6" s="229"/>
    </x:row>
    <x:row r="7" ht="19" customHeight="1">
      <x:c r="B7" s="22" t="str">
        <x:v>Income statement PBT bridge</x:v>
      </x:c>
      <x:c r="C7" s="252" t="n">
        <x:f>Income_Statement!C23-Income_Statement!C21-Income_Statement!C22</x:f>
        <x:v>-9.094947017729282e-13</x:v>
      </x:c>
      <x:c r="D7" s="252" t="n">
        <x:f>Income_Statement!D23-Income_Statement!D21-Income_Statement!D22</x:f>
        <x:v>1.0231815394945443e-12</x:v>
      </x:c>
      <x:c r="E7" s="252" t="n">
        <x:f>Income_Statement!E23-Income_Statement!E21-Income_Statement!E22</x:f>
        <x:v>0</x:v>
      </x:c>
      <x:c r="F7" s="252" t="n">
        <x:f>Income_Statement!F23-Income_Statement!F21-Income_Statement!F22</x:f>
        <x:v>0</x:v>
      </x:c>
      <x:c r="G7" s="252" t="n">
        <x:f>Income_Statement!G23-Income_Statement!G21-Income_Statement!G22</x:f>
        <x:v>0</x:v>
      </x:c>
      <x:c r="H7" s="252" t="n">
        <x:f>Income_Statement!H23-Income_Statement!H21-Income_Statement!H22</x:f>
        <x:v>0</x:v>
      </x:c>
      <x:c r="I7" s="252" t="n">
        <x:f>Income_Statement!I23-Income_Statement!I21-Income_Statement!I22</x:f>
        <x:v>0</x:v>
      </x:c>
    </x:row>
    <x:row r="8" ht="19" customHeight="1">
      <x:c r="B8" s="22" t="str">
        <x:v>Income statement continuing PAT bridge</x:v>
      </x:c>
      <x:c r="C8" s="252" t="n">
        <x:f>Income_Statement!C25-Income_Statement!C23+Income_Statement!C24</x:f>
        <x:v>-9.094947017729282e-13</x:v>
      </x:c>
      <x:c r="D8" s="252" t="n">
        <x:f>Income_Statement!D25-Income_Statement!D23+Income_Statement!D24</x:f>
        <x:v>0</x:v>
      </x:c>
      <x:c r="E8" s="252" t="n">
        <x:f>Income_Statement!E25-Income_Statement!E23+Income_Statement!E24</x:f>
        <x:v>9.094947017729282e-13</x:v>
      </x:c>
      <x:c r="F8" s="252" t="n">
        <x:f>Income_Statement!F25-Income_Statement!F23+Income_Statement!F24</x:f>
        <x:v>9.094947017729282e-13</x:v>
      </x:c>
      <x:c r="G8" s="252" t="n">
        <x:f>Income_Statement!G25-Income_Statement!G23+Income_Statement!G24</x:f>
        <x:v>9.094947017729282e-13</x:v>
      </x:c>
      <x:c r="H8" s="252" t="n">
        <x:f>Income_Statement!H25-Income_Statement!H23+Income_Statement!H24</x:f>
        <x:v>-9.094947017729282e-13</x:v>
      </x:c>
      <x:c r="I8" s="252" t="n">
        <x:f>Income_Statement!I25-Income_Statement!I23+Income_Statement!I24</x:f>
        <x:v>9.094947017729282e-13</x:v>
      </x:c>
    </x:row>
    <x:row r="9" ht="19" customHeight="1">
      <x:c r="B9" s="22" t="str">
        <x:v>Segment sales / elimination / gross revenue check</x:v>
      </x:c>
      <x:c r="C9" s="252" t="n">
        <x:f>Segments!C20-Segments!C18+Segments!C19</x:f>
        <x:v>-3.637978807091713e-12</x:v>
      </x:c>
      <x:c r="D9" s="252" t="n">
        <x:f>Segments!D20-Segments!D18+Segments!D19</x:f>
        <x:v>-7.275957614183426e-12</x:v>
      </x:c>
      <x:c r="E9" s="252" t="n">
        <x:f>Segments!E20-Segments!E18+Segments!E19</x:f>
        <x:v>-3.637978807091713e-12</x:v>
      </x:c>
      <x:c r="F9" s="252" t="n">
        <x:f>Segments!F20-Segments!F18+Segments!F19</x:f>
        <x:v>-3.637978807091713e-12</x:v>
      </x:c>
      <x:c r="G9" s="252" t="n">
        <x:f>Segments!G20-Segments!G18+Segments!G19</x:f>
        <x:v>-3.637978807091713e-12</x:v>
      </x:c>
      <x:c r="H9" s="252" t="n">
        <x:f>Segments!H20-Segments!H18+Segments!H19</x:f>
        <x:v>7.275957614183426e-12</x:v>
      </x:c>
      <x:c r="I9" s="252" t="n">
        <x:f>Segments!I20-Segments!I18+Segments!I19</x:f>
        <x:v>1.0913936421275139e-11</x:v>
      </x:c>
    </x:row>
    <x:row r="10" ht="19" customHeight="1">
      <x:c r="B10" s="22" t="str">
        <x:v>Segment PBIT sum check</x:v>
      </x:c>
      <x:c r="C10" s="252" t="n">
        <x:f>Segments!C26-SUM(Segments!C21:Segments!C25)</x:f>
        <x:v>0</x:v>
      </x:c>
      <x:c r="D10" s="252" t="n">
        <x:f>Segments!D26-SUM(Segments!D21:Segments!D25)</x:f>
        <x:v>0</x:v>
      </x:c>
      <x:c r="E10" s="252" t="n">
        <x:f>Segments!E26-SUM(Segments!E21:Segments!E25)</x:f>
        <x:v>0</x:v>
      </x:c>
      <x:c r="F10" s="252" t="n">
        <x:f>Segments!F26-SUM(Segments!F21:Segments!F25)</x:f>
        <x:v>0</x:v>
      </x:c>
      <x:c r="G10" s="252" t="n">
        <x:f>Segments!G26-SUM(Segments!G21:Segments!G25)</x:f>
        <x:v>0</x:v>
      </x:c>
      <x:c r="H10" s="252" t="n">
        <x:f>Segments!H26-SUM(Segments!H21:Segments!H25)</x:f>
        <x:v>0</x:v>
      </x:c>
      <x:c r="I10" s="252" t="n">
        <x:f>Segments!I26-SUM(Segments!I21:Segments!I25)</x:f>
        <x:v>0</x:v>
      </x:c>
    </x:row>
    <x:row r="11" ht="19" customHeight="1">
      <x:c r="B11" s="22" t="str">
        <x:v>Net revenue tax bridge</x:v>
      </x:c>
      <x:c r="C11" s="252" t="n">
        <x:f>Segments!C31-Segments!C29+Segments!C30</x:f>
        <x:v>-2.7284841053187847e-12</x:v>
      </x:c>
      <x:c r="D11" s="252" t="n">
        <x:f>Segments!D31-Segments!D29+Segments!D30</x:f>
        <x:v>-1.8189894035458565e-12</x:v>
      </x:c>
      <x:c r="E11" s="252" t="n">
        <x:f>Segments!E31-Segments!E29+Segments!E30</x:f>
        <x:v>0</x:v>
      </x:c>
      <x:c r="F11" s="252" t="n">
        <x:f>Segments!F31-Segments!F29+Segments!F30</x:f>
        <x:v>0</x:v>
      </x:c>
      <x:c r="G11" s="252" t="n">
        <x:f>Segments!G31-Segments!G29+Segments!G30</x:f>
        <x:v>7.275957614183426e-12</x:v>
      </x:c>
      <x:c r="H11" s="252" t="n">
        <x:f>Segments!H31-Segments!H29+Segments!H30</x:f>
        <x:v>0</x:v>
      </x:c>
      <x:c r="I11" s="252" t="n">
        <x:f>Segments!I31-Segments!I29+Segments!I30</x:f>
        <x:v>-7.275957614183426e-12</x:v>
      </x:c>
    </x:row>
    <x:row r="12" ht="19" customHeight="1">
      <x:c r="B12" s="22" t="str">
        <x:v>Cash flow cash bridge</x:v>
      </x:c>
      <x:c r="C12" s="235" t="n">
        <x:f>0</x:f>
        <x:v>0</x:v>
      </x:c>
      <x:c r="D12" s="235" t="n">
        <x:f>0</x:f>
        <x:v>0</x:v>
      </x:c>
      <x:c r="E12" s="252" t="n">
        <x:f>Cash_Flow!E24</x:f>
        <x:v>-6.963318810448982e-13</x:v>
      </x:c>
      <x:c r="F12" s="252" t="n">
        <x:f>Cash_Flow!F24</x:f>
        <x:v>0</x:v>
      </x:c>
      <x:c r="G12" s="252" t="n">
        <x:f>Cash_Flow!G24</x:f>
        <x:v>0</x:v>
      </x:c>
      <x:c r="H12" s="252" t="n">
        <x:f>Cash_Flow!H24</x:f>
        <x:v>0</x:v>
      </x:c>
      <x:c r="I12" s="252" t="n">
        <x:f>Cash_Flow!I24</x:f>
        <x:v>0</x:v>
      </x:c>
    </x:row>
    <x:row r="13" ht="19" customHeight="1">
      <x:c r="B13" s="22" t="str">
        <x:v>Operating working capital equality check</x:v>
      </x:c>
      <x:c r="C13" s="252" t="n">
        <x:f>Working_Capital!C18-Working_Capital!C12+Working_Capital!C16</x:f>
        <x:v>0</x:v>
      </x:c>
      <x:c r="D13" s="252" t="n">
        <x:f>Working_Capital!D18-Working_Capital!D12+Working_Capital!D16</x:f>
        <x:v>0</x:v>
      </x:c>
      <x:c r="E13" s="252" t="n">
        <x:f>Working_Capital!E18-Working_Capital!E12+Working_Capital!E16</x:f>
        <x:v>0</x:v>
      </x:c>
      <x:c r="F13" s="252" t="n">
        <x:f>Working_Capital!F18-Working_Capital!F12+Working_Capital!F16</x:f>
        <x:v>0</x:v>
      </x:c>
      <x:c r="G13" s="252" t="n">
        <x:f>Working_Capital!G18-Working_Capital!G12+Working_Capital!G16</x:f>
        <x:v>0</x:v>
      </x:c>
      <x:c r="H13" s="252" t="n">
        <x:f>Working_Capital!H18-Working_Capital!H12+Working_Capital!H16</x:f>
        <x:v>0</x:v>
      </x:c>
      <x:c r="I13" s="252" t="n">
        <x:f>Working_Capital!I18-Working_Capital!I12+Working_Capital!I16</x:f>
        <x:v>0</x:v>
      </x:c>
    </x:row>
    <x:row r="14" ht="19" customHeight="1">
      <x:c r="B14" s="22" t="str">
        <x:v>Balance sheet asset/liability tie</x:v>
      </x:c>
      <x:c r="C14" s="252" t="n">
        <x:f>Balance_Sheet!C34</x:f>
        <x:v>0</x:v>
      </x:c>
      <x:c r="D14" s="252" t="n">
        <x:f>Balance_Sheet!D34</x:f>
        <x:v>0</x:v>
      </x:c>
      <x:c r="E14" s="252" t="n">
        <x:f>Balance_Sheet!E34</x:f>
        <x:v>0</x:v>
      </x:c>
      <x:c r="F14" s="252" t="n">
        <x:f>Balance_Sheet!F34</x:f>
        <x:v>1.4551915228366852e-11</x:v>
      </x:c>
      <x:c r="G14" s="252" t="n">
        <x:f>Balance_Sheet!G34</x:f>
        <x:v>0</x:v>
      </x:c>
      <x:c r="H14" s="252" t="n">
        <x:f>Balance_Sheet!H34</x:f>
        <x:v>0</x:v>
      </x:c>
      <x:c r="I14" s="252" t="n">
        <x:f>Balance_Sheet!I34</x:f>
        <x:v>1.4551915228366852e-11</x:v>
      </x:c>
    </x:row>
    <x:row r="15" ht="19" customHeight="1">
      <x:c r="B15" s="22" t="str">
        <x:v>Closing investments roll-forward check</x:v>
      </x:c>
      <x:c r="C15" s="235" t="n">
        <x:f>0</x:f>
        <x:v>0</x:v>
      </x:c>
      <x:c r="D15" s="235" t="n">
        <x:f>0</x:f>
        <x:v>0</x:v>
      </x:c>
      <x:c r="E15" s="252" t="n">
        <x:f>Balance_Sheet!E6-Cash_Flow!E17</x:f>
        <x:v>0</x:v>
      </x:c>
      <x:c r="F15" s="252" t="n">
        <x:f>Balance_Sheet!F6-Cash_Flow!F17</x:f>
        <x:v>0</x:v>
      </x:c>
      <x:c r="G15" s="252" t="n">
        <x:f>Balance_Sheet!G6-Cash_Flow!G17</x:f>
        <x:v>0</x:v>
      </x:c>
      <x:c r="H15" s="252" t="n">
        <x:f>Balance_Sheet!H6-Cash_Flow!H17</x:f>
        <x:v>0</x:v>
      </x:c>
      <x:c r="I15" s="252" t="n">
        <x:f>Balance_Sheet!I6-Cash_Flow!I17</x:f>
        <x:v>0</x:v>
      </x:c>
    </x:row>
    <x:row r="16" ht="19" customHeight="1">
      <x:c r="B16" s="22" t="str">
        <x:v>Cigarette modeled gross = net + booked excise</x:v>
      </x:c>
      <x:c r="C16" s="252" t="n">
        <x:f>Segments!C9-Segments!C7-Segments!C8</x:f>
        <x:v>-9.094947017729282e-13</x:v>
      </x:c>
      <x:c r="D16" s="252" t="n">
        <x:f>Segments!D9-Segments!D7-Segments!D8</x:f>
        <x:v>1.8189894035458565e-12</x:v>
      </x:c>
      <x:c r="E16" s="252" t="n">
        <x:f>Segments!E9-Segments!E7-Segments!E8</x:f>
        <x:v>0</x:v>
      </x:c>
      <x:c r="F16" s="252" t="n">
        <x:f>Segments!F9-Segments!F7-Segments!F8</x:f>
        <x:v>7.275957614183426e-12</x:v>
      </x:c>
      <x:c r="G16" s="252" t="n">
        <x:f>Segments!G9-Segments!G7-Segments!G8</x:f>
        <x:v>7.275957614183426e-12</x:v>
      </x:c>
      <x:c r="H16" s="252" t="n">
        <x:f>Segments!H9-Segments!H7-Segments!H8</x:f>
        <x:v>7.275957614183426e-12</x:v>
      </x:c>
      <x:c r="I16" s="252" t="n">
        <x:f>Segments!I9-Segments!I7-Segments!I8</x:f>
        <x:v>7.275957614183426e-12</x:v>
      </x:c>
    </x:row>
    <x:row r="17" ht="19" customHeight="1">
      <x:c r="B17" s="22" t="str">
        <x:v>Historical BS actuals tie (FY25/FY26)</x:v>
      </x:c>
      <x:c r="C17" s="252" t="n">
        <x:f>Historic_BS!C35</x:f>
        <x:v>0</x:v>
      </x:c>
      <x:c r="D17" s="252" t="n">
        <x:f>Historic_BS!D35</x:f>
        <x:v>0</x:v>
      </x:c>
      <x:c r="E17" s="235" t="n">
        <x:f>0</x:f>
        <x:v>0</x:v>
      </x:c>
      <x:c r="F17" s="235" t="n">
        <x:f>0</x:f>
        <x:v>0</x:v>
      </x:c>
      <x:c r="G17" s="235" t="n">
        <x:f>0</x:f>
        <x:v>0</x:v>
      </x:c>
      <x:c r="H17" s="235" t="n">
        <x:f>0</x:f>
        <x:v>0</x:v>
      </x:c>
      <x:c r="I17" s="235" t="n">
        <x:f>0</x:f>
        <x:v>0</x:v>
      </x:c>
    </x:row>
    <x:row r="18" ht="19" customHeight="1">
      <x:c r="B18" s="22"/>
      <x:c r="C18" s="228"/>
      <x:c r="D18" s="228"/>
      <x:c r="E18" s="228"/>
      <x:c r="F18" s="228"/>
      <x:c r="G18" s="228"/>
      <x:c r="H18" s="228"/>
      <x:c r="I18" s="228"/>
    </x:row>
    <x:row r="19" ht="22" customHeight="1">
      <x:c r="B19" s="108" t="str">
        <x:v>MAX ABSOLUTE MECHANICAL ERROR</x:v>
      </x:c>
      <x:c r="C19" s="306" t="n">
        <x:f>ROUND(MAX(ABS(C7),ABS(C8),ABS(C9),ABS(C10),ABS(C11),ABS(C12),ABS(C13),ABS(C14),ABS(C15),ABS(C16),ABS(C17)),4)</x:f>
        <x:v>0</x:v>
      </x:c>
      <x:c r="D19" s="306" t="n">
        <x:f>ROUND(MAX(ABS(D7),ABS(D8),ABS(D9),ABS(D10),ABS(D11),ABS(D12),ABS(D13),ABS(D14),ABS(D15),ABS(D16),ABS(D17)),4)</x:f>
        <x:v>0</x:v>
      </x:c>
      <x:c r="E19" s="306" t="n">
        <x:f>ROUND(MAX(ABS(E7),ABS(E8),ABS(E9),ABS(E10),ABS(E11),ABS(E12),ABS(E13),ABS(E14),ABS(E15),ABS(E16),ABS(E17)),4)</x:f>
        <x:v>0</x:v>
      </x:c>
      <x:c r="F19" s="306" t="n">
        <x:f>ROUND(MAX(ABS(F7),ABS(F8),ABS(F9),ABS(F10),ABS(F11),ABS(F12),ABS(F13),ABS(F14),ABS(F15),ABS(F16),ABS(F17)),4)</x:f>
        <x:v>0</x:v>
      </x:c>
      <x:c r="G19" s="306" t="n">
        <x:f>ROUND(MAX(ABS(G7),ABS(G8),ABS(G9),ABS(G10),ABS(G11),ABS(G12),ABS(G13),ABS(G14),ABS(G15),ABS(G16),ABS(G17)),4)</x:f>
        <x:v>0</x:v>
      </x:c>
      <x:c r="H19" s="306" t="n">
        <x:f>ROUND(MAX(ABS(H7),ABS(H8),ABS(H9),ABS(H10),ABS(H11),ABS(H12),ABS(H13),ABS(H14),ABS(H15),ABS(H16),ABS(H17)),4)</x:f>
        <x:v>0</x:v>
      </x:c>
      <x:c r="I19" s="306" t="n">
        <x:f>ROUND(MAX(ABS(I7),ABS(I8),ABS(I9),ABS(I10),ABS(I11),ABS(I12),ABS(I13),ABS(I14),ABS(I15),ABS(I16),ABS(I17)),4)</x:f>
        <x:v>0</x:v>
      </x:c>
    </x:row>
    <x:row r="20" ht="21" customHeight="1">
      <x:c r="B20" s="32" t="str">
        <x:v>ECONOMIC / LIQUIDITY WARNINGS</x:v>
      </x:c>
      <x:c r="C20" s="229"/>
      <x:c r="D20" s="229"/>
      <x:c r="E20" s="229"/>
      <x:c r="F20" s="229"/>
      <x:c r="G20" s="229"/>
      <x:c r="H20" s="229"/>
      <x:c r="I20" s="229"/>
    </x:row>
    <x:row r="21" ht="19" customHeight="1">
      <x:c r="B21" s="22" t="str">
        <x:v>Current investments &lt; 0  (1=warning)</x:v>
      </x:c>
      <x:c r="C21" s="235" t="n">
        <x:f>0</x:f>
        <x:v>0</x:v>
      </x:c>
      <x:c r="D21" s="235" t="n">
        <x:f>0</x:f>
        <x:v>0</x:v>
      </x:c>
      <x:c r="E21" s="252" t="n">
        <x:f>IF(Balance_Sheet!E6&lt;0,1,0)</x:f>
        <x:v>0</x:v>
      </x:c>
      <x:c r="F21" s="252" t="n">
        <x:f>IF(Balance_Sheet!F6&lt;0,1,0)</x:f>
        <x:v>0</x:v>
      </x:c>
      <x:c r="G21" s="252" t="n">
        <x:f>IF(Balance_Sheet!G6&lt;0,1,0)</x:f>
        <x:v>0</x:v>
      </x:c>
      <x:c r="H21" s="252" t="n">
        <x:f>IF(Balance_Sheet!H6&lt;0,1,0)</x:f>
        <x:v>0</x:v>
      </x:c>
      <x:c r="I21" s="252" t="n">
        <x:f>IF(Balance_Sheet!I6&lt;0,1,0)</x:f>
        <x:v>0</x:v>
      </x:c>
    </x:row>
    <x:row r="22" ht="19" customHeight="1">
      <x:c r="B22" s="22" t="str">
        <x:v>Cash below floor / negative (1=warning)</x:v>
      </x:c>
      <x:c r="C22" s="235" t="n">
        <x:f>0</x:f>
        <x:v>0</x:v>
      </x:c>
      <x:c r="D22" s="235" t="n">
        <x:f>0</x:f>
        <x:v>0</x:v>
      </x:c>
      <x:c r="E22" s="252" t="n">
        <x:f>IF(Cash_Flow!E18&lt;Assumptions!E47,1,0)</x:f>
        <x:v>0</x:v>
      </x:c>
      <x:c r="F22" s="252" t="n">
        <x:f>IF(Cash_Flow!F18&lt;Assumptions!F47,1,0)</x:f>
        <x:v>0</x:v>
      </x:c>
      <x:c r="G22" s="252" t="n">
        <x:f>IF(Cash_Flow!G18&lt;Assumptions!G47,1,0)</x:f>
        <x:v>0</x:v>
      </x:c>
      <x:c r="H22" s="252" t="n">
        <x:f>IF(Cash_Flow!H18&lt;Assumptions!H47,1,0)</x:f>
        <x:v>0</x:v>
      </x:c>
      <x:c r="I22" s="252" t="n">
        <x:f>IF(Cash_Flow!I18&lt;Assumptions!I47,1,0)</x:f>
        <x:v>0</x:v>
      </x:c>
    </x:row>
    <x:row r="23" ht="19" customHeight="1">
      <x:c r="B23" s="22" t="str">
        <x:v>Dividend in excess of CFO after capex (1=warning)</x:v>
      </x:c>
      <x:c r="C23" s="235" t="n">
        <x:f>0</x:f>
        <x:v>0</x:v>
      </x:c>
      <x:c r="D23" s="235" t="n">
        <x:f>0</x:f>
        <x:v>0</x:v>
      </x:c>
      <x:c r="E23" s="252" t="n">
        <x:f>IF(Cash_Flow!E13&gt;Cash_Flow!E21,1,0)</x:f>
        <x:v>0</x:v>
      </x:c>
      <x:c r="F23" s="252" t="n">
        <x:f>IF(Cash_Flow!F13&gt;Cash_Flow!F21,1,0)</x:f>
        <x:v>0</x:v>
      </x:c>
      <x:c r="G23" s="252" t="n">
        <x:f>IF(Cash_Flow!G13&gt;Cash_Flow!G21,1,0)</x:f>
        <x:v>0</x:v>
      </x:c>
      <x:c r="H23" s="252" t="n">
        <x:f>IF(Cash_Flow!H13&gt;Cash_Flow!H21,1,0)</x:f>
        <x:v>0</x:v>
      </x:c>
      <x:c r="I23" s="252" t="n">
        <x:f>IF(Cash_Flow!I13&gt;Cash_Flow!I21,1,0)</x:f>
        <x:v>0</x:v>
      </x:c>
    </x:row>
    <x:row r="24" ht="19" customHeight="1">
      <x:c r="B24" s="22" t="str">
        <x:v>Forecast FY27 PBIT / annualised Q1 (diagnostic)</x:v>
      </x:c>
      <x:c r="C24" s="285"/>
      <x:c r="D24" s="285"/>
      <x:c r="E24" s="289" t="n">
        <x:f>IFERROR(Segments!E21/(Historic_Segments!E19*4)-1,0)</x:f>
        <x:v>0.08279522211880064</x:v>
      </x:c>
      <x:c r="F24" s="285"/>
      <x:c r="G24" s="285"/>
      <x:c r="H24" s="285"/>
      <x:c r="I24" s="285"/>
    </x:row>
    <x:row r="25" ht="19" customHeight="1">
      <x:c r="B25" s="22"/>
      <x:c r="C25" s="228"/>
      <x:c r="D25" s="228"/>
      <x:c r="E25" s="228"/>
      <x:c r="F25" s="228"/>
      <x:c r="G25" s="228"/>
      <x:c r="H25" s="228"/>
      <x:c r="I25" s="228"/>
    </x:row>
    <x:row r="26" ht="19" customHeight="1">
      <x:c r="B26" s="22"/>
      <x:c r="C26" s="228"/>
      <x:c r="D26" s="228"/>
      <x:c r="E26" s="228"/>
      <x:c r="F26" s="228"/>
      <x:c r="G26" s="228"/>
      <x:c r="H26" s="228"/>
      <x:c r="I26" s="228"/>
    </x:row>
    <x:row r="27" ht="27" customHeight="1">
      <x:c r="B27" s="120" t="str">
        <x:v>Historical FY25 and FY26 income, segment and BS checks are equalities drawn directly from statutory records. FY27–31 forecasts are algebraically integrated.</x:v>
      </x:c>
      <x:c r="C27" s="237"/>
      <x:c r="D27" s="237"/>
      <x:c r="E27" s="237"/>
      <x:c r="F27" s="237"/>
      <x:c r="G27" s="237"/>
      <x:c r="H27" s="237"/>
      <x:c r="I27" s="237"/>
    </x:row>
    <x:row r="28" ht="27" customHeight="1">
      <x:c r="B28" s="120" t="str">
        <x:v>Economic flags are NOT accounting failures. Example: the forecast dividend payout can exceed free cash flow while liquid investments are reduced to fund the difference.</x:v>
      </x:c>
      <x:c r="C28" s="237"/>
      <x:c r="D28" s="237"/>
      <x:c r="E28" s="237"/>
      <x:c r="F28" s="237"/>
      <x:c r="G28" s="237"/>
      <x:c r="H28" s="237"/>
      <x:c r="I28" s="237"/>
    </x:row>
    <x:row r="29" ht="19" customHeight="1">
      <x:c r="B29" s="22"/>
      <x:c r="C29" s="228"/>
      <x:c r="D29" s="228"/>
      <x:c r="E29" s="228"/>
      <x:c r="F29" s="228"/>
      <x:c r="G29" s="228"/>
      <x:c r="H29" s="228"/>
      <x:c r="I29" s="228"/>
    </x:row>
    <x:row r="30" ht="19" customHeight="1">
      <x:c r="B30" s="22"/>
      <x:c r="C30" s="228"/>
      <x:c r="D30" s="228"/>
      <x:c r="E30" s="228"/>
      <x:c r="F30" s="228"/>
      <x:c r="G30" s="228"/>
      <x:c r="H30" s="228"/>
      <x:c r="I30" s="228"/>
    </x:row>
    <x:row r="31" ht="19" customHeight="1">
      <x:c r="B31" s="22"/>
      <x:c r="C31" s="228"/>
      <x:c r="D31" s="228"/>
      <x:c r="E31" s="228"/>
      <x:c r="F31" s="228"/>
      <x:c r="G31" s="228"/>
      <x:c r="H31" s="228"/>
      <x:c r="I31" s="228"/>
    </x:row>
    <x:row r="32" ht="19" customHeight="1">
      <x:c r="B32" s="22"/>
      <x:c r="C32" s="228"/>
      <x:c r="D32" s="228"/>
      <x:c r="E32" s="228"/>
      <x:c r="F32" s="228"/>
      <x:c r="G32" s="228"/>
      <x:c r="H32" s="228"/>
      <x:c r="I32" s="228"/>
    </x:row>
    <x:row r="33" ht="19" customHeight="1">
      <x:c r="B33" s="22"/>
      <x:c r="C33" s="228"/>
      <x:c r="D33" s="228"/>
      <x:c r="E33" s="228"/>
      <x:c r="F33" s="228"/>
      <x:c r="G33" s="228"/>
      <x:c r="H33" s="228"/>
      <x:c r="I33" s="228"/>
    </x:row>
    <x:row r="34" ht="19" customHeight="1">
      <x:c r="B34" s="22"/>
      <x:c r="C34" s="228"/>
      <x:c r="D34" s="228"/>
      <x:c r="E34" s="228"/>
      <x:c r="F34" s="228"/>
      <x:c r="G34" s="228"/>
      <x:c r="H34" s="228"/>
      <x:c r="I34" s="228"/>
    </x:row>
    <x:row r="35" ht="19" customHeight="1">
      <x:c r="B35" s="22"/>
      <x:c r="C35" s="228"/>
      <x:c r="D35" s="228"/>
      <x:c r="E35" s="228"/>
      <x:c r="F35" s="228"/>
      <x:c r="G35" s="228"/>
      <x:c r="H35" s="228"/>
      <x:c r="I35" s="228"/>
    </x:row>
    <x:row r="36" ht="19" customHeight="1">
      <x:c r="B36" s="22"/>
      <x:c r="C36" s="228"/>
      <x:c r="D36" s="228"/>
      <x:c r="E36" s="228"/>
      <x:c r="F36" s="228"/>
      <x:c r="G36" s="228"/>
      <x:c r="H36" s="228"/>
      <x:c r="I36" s="228"/>
    </x:row>
    <x:row r="37" ht="19" customHeight="1">
      <x:c r="B37" s="22"/>
      <x:c r="C37" s="228"/>
      <x:c r="D37" s="228"/>
      <x:c r="E37" s="228"/>
      <x:c r="F37" s="228"/>
      <x:c r="G37" s="228"/>
      <x:c r="H37" s="228"/>
      <x:c r="I37" s="228"/>
    </x:row>
    <x:row r="38" ht="19" customHeight="1">
      <x:c r="B38" s="22"/>
      <x:c r="C38" s="228"/>
      <x:c r="D38" s="228"/>
      <x:c r="E38" s="228"/>
      <x:c r="F38" s="228"/>
      <x:c r="G38" s="228"/>
      <x:c r="H38" s="228"/>
      <x:c r="I38" s="228"/>
    </x:row>
    <x:row r="39" ht="19" customHeight="1">
      <x:c r="B39" s="22"/>
      <x:c r="C39" s="228"/>
      <x:c r="D39" s="228"/>
      <x:c r="E39" s="228"/>
      <x:c r="F39" s="228"/>
      <x:c r="G39" s="228"/>
      <x:c r="H39" s="228"/>
      <x:c r="I39" s="228"/>
    </x:row>
    <x:row r="40" ht="19" customHeight="1">
      <x:c r="B40" s="22"/>
      <x:c r="C40" s="228"/>
      <x:c r="D40" s="228"/>
      <x:c r="E40" s="228"/>
      <x:c r="F40" s="228"/>
      <x:c r="G40" s="228"/>
      <x:c r="H40" s="228"/>
      <x:c r="I40" s="228"/>
    </x:row>
    <x:row r="41" ht="19" customHeight="1">
      <x:c r="B41" s="22"/>
      <x:c r="C41" s="228"/>
      <x:c r="D41" s="228"/>
      <x:c r="E41" s="228"/>
      <x:c r="F41" s="228"/>
      <x:c r="G41" s="228"/>
      <x:c r="H41" s="228"/>
      <x:c r="I41" s="228"/>
    </x:row>
    <x:row r="42" ht="19" customHeight="1">
      <x:c r="B42" s="22"/>
      <x:c r="C42" s="228"/>
      <x:c r="D42" s="228"/>
      <x:c r="E42" s="228"/>
      <x:c r="F42" s="228"/>
      <x:c r="G42" s="228"/>
      <x:c r="H42" s="228"/>
      <x:c r="I42" s="228"/>
    </x:row>
    <x:row r="43" ht="19" customHeight="1">
      <x:c r="B43" s="22"/>
      <x:c r="C43" s="228"/>
      <x:c r="D43" s="228"/>
      <x:c r="E43" s="228"/>
      <x:c r="F43" s="228"/>
      <x:c r="G43" s="228"/>
      <x:c r="H43" s="228"/>
      <x:c r="I43" s="228"/>
    </x:row>
    <x:row r="44" ht="19" customHeight="1">
      <x:c r="B44" s="22"/>
      <x:c r="C44" s="228"/>
      <x:c r="D44" s="228"/>
      <x:c r="E44" s="228"/>
      <x:c r="F44" s="228"/>
      <x:c r="G44" s="228"/>
      <x:c r="H44" s="228"/>
      <x:c r="I44" s="228"/>
    </x:row>
    <x:row r="45" ht="19" customHeight="1">
      <x:c r="B45" s="22"/>
      <x:c r="C45" s="228"/>
      <x:c r="D45" s="228"/>
      <x:c r="E45" s="228"/>
      <x:c r="F45" s="228"/>
      <x:c r="G45" s="228"/>
      <x:c r="H45" s="228"/>
      <x:c r="I45" s="228"/>
    </x:row>
    <x:row r="46" ht="19" customHeight="1">
      <x:c r="B46" s="22"/>
      <x:c r="C46" s="228"/>
      <x:c r="D46" s="228"/>
      <x:c r="E46" s="228"/>
      <x:c r="F46" s="228"/>
      <x:c r="G46" s="228"/>
      <x:c r="H46" s="228"/>
      <x:c r="I46" s="228"/>
    </x:row>
    <x:row r="47" ht="19" customHeight="1">
      <x:c r="B47" s="22"/>
      <x:c r="C47" s="228"/>
      <x:c r="D47" s="228"/>
      <x:c r="E47" s="228"/>
      <x:c r="F47" s="228"/>
      <x:c r="G47" s="228"/>
      <x:c r="H47" s="228"/>
      <x:c r="I47" s="228"/>
    </x:row>
    <x:row r="48" ht="19" customHeight="1">
      <x:c r="B48" s="22"/>
      <x:c r="C48" s="228"/>
      <x:c r="D48" s="228"/>
      <x:c r="E48" s="228"/>
      <x:c r="F48" s="228"/>
      <x:c r="G48" s="228"/>
      <x:c r="H48" s="228"/>
      <x:c r="I48" s="228"/>
    </x:row>
    <x:row r="49" ht="19" customHeight="1">
      <x:c r="B49" s="22"/>
      <x:c r="C49" s="228"/>
      <x:c r="D49" s="228"/>
      <x:c r="E49" s="228"/>
      <x:c r="F49" s="228"/>
      <x:c r="G49" s="228"/>
      <x:c r="H49" s="228"/>
      <x:c r="I49" s="228"/>
    </x:row>
    <x:row r="50" ht="19" customHeight="1">
      <x:c r="B50" s="22"/>
      <x:c r="C50" s="228"/>
      <x:c r="D50" s="228"/>
      <x:c r="E50" s="228"/>
      <x:c r="F50" s="228"/>
      <x:c r="G50" s="228"/>
      <x:c r="H50" s="228"/>
      <x:c r="I50" s="228"/>
    </x:row>
    <x:row r="51" ht="19" customHeight="1">
      <x:c r="B51" s="22"/>
      <x:c r="C51" s="228"/>
      <x:c r="D51" s="228"/>
      <x:c r="E51" s="228"/>
      <x:c r="F51" s="228"/>
      <x:c r="G51" s="228"/>
      <x:c r="H51" s="228"/>
      <x:c r="I51" s="228"/>
    </x:row>
    <x:row r="52" ht="19" customHeight="1">
      <x:c r="B52" s="22"/>
      <x:c r="C52" s="228"/>
      <x:c r="D52" s="228"/>
      <x:c r="E52" s="228"/>
      <x:c r="F52" s="228"/>
      <x:c r="G52" s="228"/>
      <x:c r="H52" s="228"/>
      <x:c r="I52" s="228"/>
    </x:row>
    <x:row r="53" ht="19" customHeight="1">
      <x:c r="B53" s="22"/>
      <x:c r="C53" s="228"/>
      <x:c r="D53" s="228"/>
      <x:c r="E53" s="228"/>
      <x:c r="F53" s="228"/>
      <x:c r="G53" s="228"/>
      <x:c r="H53" s="228"/>
      <x:c r="I53" s="228"/>
    </x:row>
    <x:row r="54" ht="19" customHeight="1">
      <x:c r="B54" s="22"/>
      <x:c r="C54" s="228"/>
      <x:c r="D54" s="228"/>
      <x:c r="E54" s="228"/>
      <x:c r="F54" s="228"/>
      <x:c r="G54" s="228"/>
      <x:c r="H54" s="228"/>
      <x:c r="I54" s="228"/>
    </x:row>
    <x:row r="55" ht="19" customHeight="1">
      <x:c r="B55" s="22"/>
      <x:c r="C55" s="228"/>
      <x:c r="D55" s="228"/>
      <x:c r="E55" s="228"/>
      <x:c r="F55" s="228"/>
      <x:c r="G55" s="228"/>
      <x:c r="H55" s="228"/>
      <x:c r="I55" s="228"/>
    </x:row>
    <x:row r="56" ht="19" customHeight="1">
      <x:c r="B56" s="22"/>
      <x:c r="C56" s="228"/>
      <x:c r="D56" s="228"/>
      <x:c r="E56" s="228"/>
      <x:c r="F56" s="228"/>
      <x:c r="G56" s="228"/>
      <x:c r="H56" s="228"/>
      <x:c r="I56" s="228"/>
    </x:row>
    <x:row r="57" ht="19" customHeight="1">
      <x:c r="B57" s="22"/>
      <x:c r="C57" s="228"/>
      <x:c r="D57" s="228"/>
      <x:c r="E57" s="228"/>
      <x:c r="F57" s="228"/>
      <x:c r="G57" s="228"/>
      <x:c r="H57" s="228"/>
      <x:c r="I57" s="228"/>
    </x:row>
    <x:row r="58" ht="19" customHeight="1">
      <x:c r="B58" s="22"/>
      <x:c r="C58" s="228"/>
      <x:c r="D58" s="228"/>
      <x:c r="E58" s="228"/>
      <x:c r="F58" s="228"/>
      <x:c r="G58" s="228"/>
      <x:c r="H58" s="228"/>
      <x:c r="I58" s="228"/>
    </x:row>
    <x:row r="59" ht="19" customHeight="1">
      <x:c r="B59" s="22"/>
      <x:c r="C59" s="228"/>
      <x:c r="D59" s="228"/>
      <x:c r="E59" s="228"/>
      <x:c r="F59" s="228"/>
      <x:c r="G59" s="228"/>
      <x:c r="H59" s="228"/>
      <x:c r="I59" s="228"/>
    </x:row>
    <x:row r="60" ht="19" customHeight="1">
      <x:c r="B60" s="22"/>
      <x:c r="C60" s="228"/>
      <x:c r="D60" s="228"/>
      <x:c r="E60" s="228"/>
      <x:c r="F60" s="228"/>
      <x:c r="G60" s="228"/>
      <x:c r="H60" s="228"/>
      <x:c r="I60" s="228"/>
    </x:row>
    <x:row r="61" ht="19" customHeight="1">
      <x:c r="B61" s="22"/>
      <x:c r="C61" s="228"/>
      <x:c r="D61" s="228"/>
      <x:c r="E61" s="228"/>
      <x:c r="F61" s="228"/>
      <x:c r="G61" s="228"/>
      <x:c r="H61" s="228"/>
      <x:c r="I61" s="228"/>
    </x:row>
    <x:row r="62" ht="19" customHeight="1">
      <x:c r="B62" s="22"/>
      <x:c r="C62" s="228"/>
      <x:c r="D62" s="228"/>
      <x:c r="E62" s="228"/>
      <x:c r="F62" s="228"/>
      <x:c r="G62" s="228"/>
      <x:c r="H62" s="228"/>
      <x:c r="I62" s="228"/>
    </x:row>
    <x:row r="63" ht="19" customHeight="1">
      <x:c r="B63" s="22"/>
      <x:c r="C63" s="228"/>
      <x:c r="D63" s="228"/>
      <x:c r="E63" s="228"/>
      <x:c r="F63" s="228"/>
      <x:c r="G63" s="228"/>
      <x:c r="H63" s="228"/>
      <x:c r="I63" s="228"/>
    </x:row>
    <x:row r="64" ht="19" customHeight="1">
      <x:c r="B64" s="22"/>
      <x:c r="C64" s="228"/>
      <x:c r="D64" s="228"/>
      <x:c r="E64" s="228"/>
      <x:c r="F64" s="228"/>
      <x:c r="G64" s="228"/>
      <x:c r="H64" s="228"/>
      <x:c r="I64" s="228"/>
    </x:row>
    <x:row r="65" ht="19" customHeight="1">
      <x:c r="B65" s="22"/>
      <x:c r="C65" s="228"/>
      <x:c r="D65" s="228"/>
      <x:c r="E65" s="228"/>
      <x:c r="F65" s="228"/>
      <x:c r="G65" s="228"/>
      <x:c r="H65" s="228"/>
      <x:c r="I65" s="228"/>
    </x:row>
    <x:row r="66" ht="19" customHeight="1">
      <x:c r="B66" s="22"/>
      <x:c r="C66" s="228"/>
      <x:c r="D66" s="228"/>
      <x:c r="E66" s="228"/>
      <x:c r="F66" s="228"/>
      <x:c r="G66" s="228"/>
      <x:c r="H66" s="228"/>
      <x:c r="I66" s="228"/>
    </x:row>
    <x:row r="67" ht="19" customHeight="1">
      <x:c r="B67" s="22"/>
      <x:c r="C67" s="228"/>
      <x:c r="D67" s="228"/>
      <x:c r="E67" s="228"/>
      <x:c r="F67" s="228"/>
      <x:c r="G67" s="228"/>
      <x:c r="H67" s="228"/>
      <x:c r="I67" s="228"/>
    </x:row>
    <x:row r="68" ht="19" customHeight="1">
      <x:c r="B68" s="22"/>
      <x:c r="C68" s="228"/>
      <x:c r="D68" s="228"/>
      <x:c r="E68" s="228"/>
      <x:c r="F68" s="228"/>
      <x:c r="G68" s="228"/>
      <x:c r="H68" s="228"/>
      <x:c r="I68" s="228"/>
    </x:row>
    <x:row r="69" ht="19" customHeight="1">
      <x:c r="B69" s="22"/>
      <x:c r="C69" s="228"/>
      <x:c r="D69" s="228"/>
      <x:c r="E69" s="228"/>
      <x:c r="F69" s="228"/>
      <x:c r="G69" s="228"/>
      <x:c r="H69" s="228"/>
      <x:c r="I69" s="228"/>
    </x:row>
    <x:row r="70" ht="19" customHeight="1">
      <x:c r="B70" s="22"/>
      <x:c r="C70" s="228"/>
      <x:c r="D70" s="228"/>
      <x:c r="E70" s="228"/>
      <x:c r="F70" s="228"/>
      <x:c r="G70" s="228"/>
      <x:c r="H70" s="228"/>
      <x:c r="I70" s="228"/>
    </x:row>
    <x:row r="71" ht="19" customHeight="1">
      <x:c r="B71" s="22"/>
      <x:c r="C71" s="228"/>
      <x:c r="D71" s="228"/>
      <x:c r="E71" s="228"/>
      <x:c r="F71" s="228"/>
      <x:c r="G71" s="228"/>
      <x:c r="H71" s="228"/>
      <x:c r="I71" s="228"/>
    </x:row>
    <x:row r="72" ht="19" customHeight="1">
      <x:c r="B72" s="22"/>
      <x:c r="C72" s="228"/>
      <x:c r="D72" s="228"/>
      <x:c r="E72" s="228"/>
      <x:c r="F72" s="228"/>
      <x:c r="G72" s="228"/>
      <x:c r="H72" s="228"/>
      <x:c r="I72" s="228"/>
    </x:row>
    <x:row r="73" ht="19" customHeight="1">
      <x:c r="B73" s="22"/>
      <x:c r="C73" s="228"/>
      <x:c r="D73" s="228"/>
      <x:c r="E73" s="228"/>
      <x:c r="F73" s="228"/>
      <x:c r="G73" s="228"/>
      <x:c r="H73" s="228"/>
      <x:c r="I73" s="228"/>
    </x:row>
    <x:row r="74" ht="19" customHeight="1">
      <x:c r="B74" s="22"/>
      <x:c r="C74" s="228"/>
      <x:c r="D74" s="228"/>
      <x:c r="E74" s="228"/>
      <x:c r="F74" s="228"/>
      <x:c r="G74" s="228"/>
      <x:c r="H74" s="228"/>
      <x:c r="I74" s="228"/>
    </x:row>
    <x:row r="75" ht="19" customHeight="1">
      <x:c r="B75" s="22"/>
      <x:c r="C75" s="228"/>
      <x:c r="D75" s="228"/>
      <x:c r="E75" s="228"/>
      <x:c r="F75" s="228"/>
      <x:c r="G75" s="228"/>
      <x:c r="H75" s="228"/>
      <x:c r="I75" s="228"/>
    </x:row>
    <x:row r="76" ht="19" customHeight="1">
      <x:c r="B76" s="22"/>
      <x:c r="C76" s="228"/>
      <x:c r="D76" s="228"/>
      <x:c r="E76" s="228"/>
      <x:c r="F76" s="228"/>
      <x:c r="G76" s="228"/>
      <x:c r="H76" s="228"/>
      <x:c r="I76" s="228"/>
    </x:row>
    <x:row r="77" ht="19" customHeight="1">
      <x:c r="B77" s="22"/>
      <x:c r="C77" s="228"/>
      <x:c r="D77" s="228"/>
      <x:c r="E77" s="228"/>
      <x:c r="F77" s="228"/>
      <x:c r="G77" s="228"/>
      <x:c r="H77" s="228"/>
      <x:c r="I77" s="228"/>
    </x:row>
    <x:row r="78" ht="19" customHeight="1">
      <x:c r="B78" s="22"/>
      <x:c r="C78" s="228"/>
      <x:c r="D78" s="228"/>
      <x:c r="E78" s="228"/>
      <x:c r="F78" s="228"/>
      <x:c r="G78" s="228"/>
      <x:c r="H78" s="228"/>
      <x:c r="I78" s="228"/>
    </x:row>
    <x:row r="79" ht="19" customHeight="1">
      <x:c r="B79" s="22"/>
      <x:c r="C79" s="228"/>
      <x:c r="D79" s="228"/>
      <x:c r="E79" s="228"/>
      <x:c r="F79" s="228"/>
      <x:c r="G79" s="228"/>
      <x:c r="H79" s="228"/>
      <x:c r="I79" s="228"/>
    </x:row>
    <x:row r="80" ht="19" customHeight="1">
      <x:c r="B80" s="22"/>
      <x:c r="C80" s="228"/>
      <x:c r="D80" s="228"/>
      <x:c r="E80" s="228"/>
      <x:c r="F80" s="228"/>
      <x:c r="G80" s="228"/>
      <x:c r="H80" s="228"/>
      <x:c r="I80" s="228"/>
    </x:row>
    <x:row r="81" ht="19" customHeight="1">
      <x:c r="B81" s="22"/>
      <x:c r="C81" s="228"/>
      <x:c r="D81" s="228"/>
      <x:c r="E81" s="228"/>
      <x:c r="F81" s="228"/>
      <x:c r="G81" s="228"/>
      <x:c r="H81" s="228"/>
      <x:c r="I81" s="228"/>
    </x:row>
    <x:row r="82" ht="19" customHeight="1">
      <x:c r="B82" s="22"/>
      <x:c r="C82" s="228"/>
      <x:c r="D82" s="228"/>
      <x:c r="E82" s="228"/>
      <x:c r="F82" s="228"/>
      <x:c r="G82" s="228"/>
      <x:c r="H82" s="228"/>
      <x:c r="I82" s="228"/>
    </x:row>
  </x:sheetData>
  <x:mergeCells>
    <x:mergeCell ref="B2:I2"/>
    <x:mergeCell ref="B3:I3"/>
    <x:mergeCell ref="B6:I6"/>
    <x:mergeCell ref="B20:I20"/>
    <x:mergeCell ref="B27:I27"/>
    <x:mergeCell ref="B28:I28"/>
  </x:mergeCells>
  <x:conditionalFormatting sqref="E22:E23">
    <x:cfRule type="cellIs" dxfId="0" priority="1" operator="greaterThan">
      <x:formula>0</x:formula>
    </x:cfRule>
  </x:conditionalFormatting>
  <x:conditionalFormatting sqref="F22:F23">
    <x:cfRule type="cellIs" dxfId="1" priority="2" operator="greaterThan">
      <x:formula>0</x:formula>
    </x:cfRule>
  </x:conditionalFormatting>
  <x:conditionalFormatting sqref="G22:G23">
    <x:cfRule type="cellIs" dxfId="2" priority="3" operator="greaterThan">
      <x:formula>0</x:formula>
    </x:cfRule>
  </x:conditionalFormatting>
  <x:conditionalFormatting sqref="H22:H23">
    <x:cfRule type="cellIs" dxfId="3" priority="4" operator="greaterThan">
      <x:formula>0</x:formula>
    </x:cfRule>
  </x:conditionalFormatting>
  <x:conditionalFormatting sqref="I22:I23">
    <x:cfRule type="cellIs" dxfId="4" priority="5" operator="greaterThan">
      <x:formula>0</x:formula>
    </x:cfRule>
  </x:conditionalFormatting>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3" hidden="0" customWidth="1"/>
    <x:col min="2" max="2" width="43"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9" hidden="0" customWidth="1"/>
  </x:cols>
  <x:sheetData>
    <x:row r="2" ht="32" customHeight="1">
      <x:c r="B2" s="4" t="str">
        <x:v>CONSOLIDATED  •  REPORTING BRIDGE</x:v>
      </x:c>
      <x:c r="C2" s="4"/>
      <x:c r="D2" s="4"/>
      <x:c r="E2" s="4"/>
      <x:c r="F2" s="4"/>
      <x:c r="G2" s="4"/>
      <x:c r="H2" s="4"/>
      <x:c r="I2" s="4"/>
    </x:row>
    <x:row r="3" ht="23" customHeight="1">
      <x:c r="B3" s="9" t="str">
        <x:v>Group actual FY26 and Q1 FY27, plus modeled increment above standalone. Explicitly strips exceptional accounting gain.</x:v>
      </x:c>
      <x:c r="C3" s="9"/>
      <x:c r="D3" s="9"/>
      <x:c r="E3" s="9"/>
      <x:c r="F3" s="9"/>
      <x:c r="G3" s="9"/>
      <x:c r="H3" s="9"/>
      <x:c r="I3" s="9"/>
    </x:row>
    <x:row r="4" ht="24" customHeight="1">
      <x:c r="B4" s="18" t="str">
        <x:v>ITC LIMITED  •  ₹ crore unless noted</x:v>
      </x:c>
      <x:c r="C4" s="14" t="str">
        <x:v>FY25A</x:v>
      </x:c>
      <x:c r="D4" s="14" t="str">
        <x:v>FY26A</x:v>
      </x:c>
      <x:c r="E4" s="14" t="str">
        <x:v>FY27E</x:v>
      </x:c>
      <x:c r="F4" s="14" t="str">
        <x:v>FY28E</x:v>
      </x:c>
      <x:c r="G4" s="14" t="str">
        <x:v>FY29E</x:v>
      </x:c>
      <x:c r="H4" s="14" t="str">
        <x:v>FY30E</x:v>
      </x:c>
      <x:c r="I4" s="14" t="str">
        <x:v>FY31E</x:v>
      </x:c>
      <x:c r="J4" s="14" t="str">
        <x:v>Q1 FY27A</x:v>
      </x:c>
    </x:row>
    <x:row r="5" ht="19" customHeight="1">
      <x:c r="B5" s="22"/>
      <x:c r="C5" s="262"/>
      <x:c r="D5" s="262"/>
      <x:c r="E5" s="262"/>
      <x:c r="F5" s="262"/>
      <x:c r="G5" s="262"/>
      <x:c r="H5" s="262"/>
      <x:c r="I5" s="262"/>
      <x:c r="J5" s="298"/>
    </x:row>
    <x:row r="6" ht="21" customHeight="1">
      <x:c r="B6" s="32" t="str">
        <x:v>CONSOLIDATED SALES AND PROFIT  •  ₹ CRORE</x:v>
      </x:c>
      <x:c r="C6" s="256"/>
      <x:c r="D6" s="256"/>
      <x:c r="E6" s="256"/>
      <x:c r="F6" s="256"/>
      <x:c r="G6" s="256"/>
      <x:c r="H6" s="256"/>
      <x:c r="I6" s="256"/>
      <x:c r="J6" s="298"/>
    </x:row>
    <x:row r="7" ht="19" customHeight="1">
      <x:c r="B7" s="22" t="str">
        <x:v>Standalone revenue from operations</x:v>
      </x:c>
      <x:c r="C7" s="262"/>
      <x:c r="D7" s="263" t="n">
        <x:f>Income_Statement!D7</x:f>
        <x:v>81640.11</x:v>
      </x:c>
      <x:c r="E7" s="263" t="n">
        <x:f>Income_Statement!E7</x:f>
        <x:v>108878.90756218559</x:v>
      </x:c>
      <x:c r="F7" s="263" t="n">
        <x:f>Income_Statement!F7</x:f>
        <x:v>116306.67340280442</x:v>
      </x:c>
      <x:c r="G7" s="263" t="n">
        <x:f>Income_Statement!G7</x:f>
        <x:v>124184.8819825003</x:v>
      </x:c>
      <x:c r="H7" s="263" t="n">
        <x:f>Income_Statement!H7</x:f>
        <x:v>132619.18010413027</x:v>
      </x:c>
      <x:c r="I7" s="263" t="n">
        <x:f>Income_Statement!I7</x:f>
        <x:v>141336.48149583762</x:v>
      </x:c>
      <x:c r="J7" s="299" t="n">
        <x:f>Historic_IS!E7</x:f>
        <x:v>26943.23</x:v>
      </x:c>
    </x:row>
    <x:row r="8" ht="19" customHeight="1">
      <x:c r="B8" s="22" t="str">
        <x:v>Incremental revenue from consolidated subsidiaries net of internal eliminations</x:v>
      </x:c>
      <x:c r="C8" s="262"/>
      <x:c r="D8" s="264" t="n">
        <x:f>D9-D7</x:f>
        <x:v>8273.220000000001</x:v>
      </x:c>
      <x:c r="E8" s="263" t="n">
        <x:f>$J$25*4*(1+Assumptions!E57)</x:f>
        <x:v>10526.685599999999</x:v>
      </x:c>
      <x:c r="F8" s="263" t="n">
        <x:f>E8*(1+Assumptions!F58)</x:f>
        <x:v>11579.354159999999</x:v>
      </x:c>
      <x:c r="G8" s="263" t="n">
        <x:f>F8*(1+Assumptions!G58)</x:f>
        <x:v>12621.4960344</x:v>
      </x:c>
      <x:c r="H8" s="263" t="n">
        <x:f>G8*(1+Assumptions!H58)</x:f>
        <x:v>13631.215717152</x:v>
      </x:c>
      <x:c r="I8" s="263" t="n">
        <x:f>H8*(1+Assumptions!I58)</x:f>
        <x:v>14585.40081735264</x:v>
      </x:c>
      <x:c r="J8" s="300" t="n">
        <x:f>J9-J7</x:f>
        <x:v>2580.0699999999997</x:v>
      </x:c>
    </x:row>
    <x:row r="9" ht="22" customHeight="1">
      <x:c r="B9" s="108" t="str">
        <x:v>CONSOLIDATED REVENUE (INCLUDING EXCISE)</x:v>
      </x:c>
      <x:c r="C9" s="265"/>
      <x:c r="D9" s="266" t="n">
        <x:v>89913.33</x:v>
      </x:c>
      <x:c r="E9" s="267" t="n">
        <x:f>SUM(E7:E8)</x:f>
        <x:v>119405.59316218559</x:v>
      </x:c>
      <x:c r="F9" s="267" t="n">
        <x:f>SUM(F7:F8)</x:f>
        <x:v>127886.02756280442</x:v>
      </x:c>
      <x:c r="G9" s="267" t="n">
        <x:f>SUM(G7:G8)</x:f>
        <x:v>136806.3780169003</x:v>
      </x:c>
      <x:c r="H9" s="267" t="n">
        <x:f>SUM(H7:H8)</x:f>
        <x:v>146250.39582128226</x:v>
      </x:c>
      <x:c r="I9" s="267" t="n">
        <x:f>SUM(I7:I8)</x:f>
        <x:v>155921.88231319026</x:v>
      </x:c>
      <x:c r="J9" s="301" t="n">
        <x:v>29523.3</x:v>
      </x:c>
    </x:row>
    <x:row r="10" ht="19" customHeight="1">
      <x:c r="B10" s="22" t="str">
        <x:v>Consolidated excise (statutory)</x:v>
      </x:c>
      <x:c r="C10" s="262"/>
      <x:c r="D10" s="268" t="n">
        <x:v>11044.93</x:v>
      </x:c>
      <x:c r="E10" s="263" t="n">
        <x:f>Income_Statement!E9+($J$10-Historic_IS!E10)*4</x:f>
        <x:v>45731.194240000004</x:v>
      </x:c>
      <x:c r="F10" s="263" t="n">
        <x:f>Income_Statement!F9+(E10-Income_Statement!E9)*(1+Assumptions!F59)</x:f>
        <x:v>48215.30550944001</x:v>
      </x:c>
      <x:c r="G10" s="263" t="n">
        <x:f>Income_Statement!G9+(F10-Income_Statement!F9)*(1+Assumptions!G59)</x:f>
        <x:v>51331.40155999468</x:v>
      </x:c>
      <x:c r="H10" s="263" t="n">
        <x:f>Income_Statement!H9+(G10-Income_Statement!G9)*(1+Assumptions!H59)</x:f>
        <x:v>54927.93618688597</x:v>
      </x:c>
      <x:c r="I10" s="263" t="n">
        <x:f>Income_Statement!I9+(H10-Income_Statement!H9)*(1+Assumptions!I59)</x:f>
        <x:v>58771.907941436235</x:v>
      </x:c>
      <x:c r="J10" s="301" t="n">
        <x:v>10408.93</x:v>
      </x:c>
    </x:row>
    <x:row r="11" ht="22" customHeight="1">
      <x:c r="B11" s="108" t="str">
        <x:v>CONSOLIDATED REVENUE AFTER EXCISE</x:v>
      </x:c>
      <x:c r="C11" s="265"/>
      <x:c r="D11" s="267" t="n">
        <x:f>D9-D10</x:f>
        <x:v>78868.4</x:v>
      </x:c>
      <x:c r="E11" s="267" t="n">
        <x:f>E9-E10</x:f>
        <x:v>73674.39892218559</x:v>
      </x:c>
      <x:c r="F11" s="267" t="n">
        <x:f>F9-F10</x:f>
        <x:v>79670.72205336441</x:v>
      </x:c>
      <x:c r="G11" s="267" t="n">
        <x:f>G9-G10</x:f>
        <x:v>85474.97645690563</x:v>
      </x:c>
      <x:c r="H11" s="267" t="n">
        <x:f>H9-H10</x:f>
        <x:v>91322.45963439629</x:v>
      </x:c>
      <x:c r="I11" s="267" t="n">
        <x:f>I9-I10</x:f>
        <x:v>97149.97437175403</x:v>
      </x:c>
      <x:c r="J11" s="300" t="n">
        <x:f>J9-J10</x:f>
        <x:v>19114.37</x:v>
      </x:c>
    </x:row>
    <x:row r="12" ht="19" customHeight="1">
      <x:c r="B12" s="22"/>
      <x:c r="C12" s="262"/>
      <x:c r="D12" s="262"/>
      <x:c r="E12" s="262"/>
      <x:c r="F12" s="262"/>
      <x:c r="G12" s="262"/>
      <x:c r="H12" s="262"/>
      <x:c r="I12" s="262"/>
      <x:c r="J12" s="298"/>
    </x:row>
    <x:row r="13" ht="19" customHeight="1">
      <x:c r="B13" s="22" t="str">
        <x:v>Standalone reported PBT (before associates)</x:v>
      </x:c>
      <x:c r="C13" s="262"/>
      <x:c r="D13" s="263" t="n">
        <x:f>Income_Statement!D23</x:f>
        <x:v>26767.600000000002</x:v>
      </x:c>
      <x:c r="E13" s="263" t="n">
        <x:f>Income_Statement!E23</x:f>
        <x:v>20522.1010375</x:v>
      </x:c>
      <x:c r="F13" s="263" t="n">
        <x:f>Income_Statement!F23</x:f>
        <x:v>22147.043721940005</x:v>
      </x:c>
      <x:c r="G13" s="263" t="n">
        <x:f>Income_Statement!G23</x:f>
        <x:v>23834.418810959854</x:v>
      </x:c>
      <x:c r="H13" s="263" t="n">
        <x:f>Income_Statement!H23</x:f>
        <x:v>25826.964950362315</x:v>
      </x:c>
      <x:c r="I13" s="263" t="n">
        <x:f>Income_Statement!I23</x:f>
        <x:v>27752.330075763955</x:v>
      </x:c>
      <x:c r="J13" s="299" t="n">
        <x:f>Historic_IS!E18</x:f>
        <x:v>4759.41</x:v>
      </x:c>
    </x:row>
    <x:row r="14" ht="19" customHeight="1">
      <x:c r="B14" s="22" t="str">
        <x:v>Incremental pre-tax group profit (before associates)</x:v>
      </x:c>
      <x:c r="C14" s="262"/>
      <x:c r="D14" s="264" t="n">
        <x:f>D15-D13</x:f>
        <x:v>888.7099999999991</x:v>
      </x:c>
      <x:c r="E14" s="263" t="n">
        <x:f>Assumptions!E60</x:f>
        <x:v>1600</x:v>
      </x:c>
      <x:c r="F14" s="263" t="n">
        <x:f>Assumptions!F60</x:f>
        <x:v>1750</x:v>
      </x:c>
      <x:c r="G14" s="263" t="n">
        <x:f>Assumptions!G60</x:f>
        <x:v>1910</x:v>
      </x:c>
      <x:c r="H14" s="263" t="n">
        <x:f>Assumptions!H60</x:f>
        <x:v>2070</x:v>
      </x:c>
      <x:c r="I14" s="263" t="n">
        <x:f>Assumptions!I60</x:f>
        <x:v>2230</x:v>
      </x:c>
      <x:c r="J14" s="300" t="n">
        <x:f>J15-J13</x:f>
        <x:v>1015.5299999999997</x:v>
      </x:c>
    </x:row>
    <x:row r="15" ht="22" customHeight="1">
      <x:c r="B15" s="96" t="str">
        <x:v>GROUP PBT BEFORE EQUITY-ACCOUNTED ASSOCIATES</x:v>
      </x:c>
      <x:c r="C15" s="269"/>
      <x:c r="D15" s="270" t="n">
        <x:v>27656.31</x:v>
      </x:c>
      <x:c r="E15" s="271" t="n">
        <x:f>SUM(E13:E14)</x:f>
        <x:v>22122.1010375</x:v>
      </x:c>
      <x:c r="F15" s="271" t="n">
        <x:f>SUM(F13:F14)</x:f>
        <x:v>23897.043721940005</x:v>
      </x:c>
      <x:c r="G15" s="271" t="n">
        <x:f>SUM(G13:G14)</x:f>
        <x:v>25744.418810959854</x:v>
      </x:c>
      <x:c r="H15" s="271" t="n">
        <x:f>SUM(H13:H14)</x:f>
        <x:v>27896.964950362315</x:v>
      </x:c>
      <x:c r="I15" s="271" t="n">
        <x:f>SUM(I13:I14)</x:f>
        <x:v>29982.330075763955</x:v>
      </x:c>
      <x:c r="J15" s="301" t="n">
        <x:v>5774.94</x:v>
      </x:c>
    </x:row>
    <x:row r="16" ht="19" customHeight="1">
      <x:c r="B16" s="22" t="str">
        <x:v>Group income-tax expense</x:v>
      </x:c>
      <x:c r="C16" s="262"/>
      <x:c r="D16" s="268" t="n">
        <x:v>7015.24</x:v>
      </x:c>
      <x:c r="E16" s="263" t="n">
        <x:f>Income_Statement!E24+E14*Assumptions!E63</x:f>
        <x:v>5574.76946145</x:v>
      </x:c>
      <x:c r="F16" s="263" t="n">
        <x:f>Income_Statement!F24+F14*Assumptions!F63</x:f>
        <x:v>6022.055017928881</x:v>
      </x:c>
      <x:c r="G16" s="263" t="n">
        <x:f>Income_Statement!G24+G14*Assumptions!G63</x:f>
        <x:v>6487.593540361883</x:v>
      </x:c>
      <x:c r="H16" s="263" t="n">
        <x:f>Income_Statement!H24+H14*Assumptions!H63</x:f>
        <x:v>7030.035167491304</x:v>
      </x:c>
      <x:c r="I16" s="263" t="n">
        <x:f>Income_Statement!I24+I14*Assumptions!I63</x:f>
        <x:v>7555.547179092517</x:v>
      </x:c>
      <x:c r="J16" s="301" t="n">
        <x:v>1352.06</x:v>
      </x:c>
    </x:row>
    <x:row r="17" ht="22" customHeight="1">
      <x:c r="B17" s="96" t="str">
        <x:v>Consolidated after-tax profit before associates</x:v>
      </x:c>
      <x:c r="C17" s="269"/>
      <x:c r="D17" s="271" t="n">
        <x:f>D15-D16</x:f>
        <x:v>20641.07</x:v>
      </x:c>
      <x:c r="E17" s="271" t="n">
        <x:f>E15-E16</x:f>
        <x:v>16547.33157605</x:v>
      </x:c>
      <x:c r="F17" s="271" t="n">
        <x:f>F15-F16</x:f>
        <x:v>17874.988704011124</x:v>
      </x:c>
      <x:c r="G17" s="271" t="n">
        <x:f>G15-G16</x:f>
        <x:v>19256.825270597972</x:v>
      </x:c>
      <x:c r="H17" s="271" t="n">
        <x:f>H15-H16</x:f>
        <x:v>20866.92978287101</x:v>
      </x:c>
      <x:c r="I17" s="271" t="n">
        <x:f>I15-I16</x:f>
        <x:v>22426.782896671437</x:v>
      </x:c>
      <x:c r="J17" s="300" t="n">
        <x:f>J15-J16</x:f>
        <x:v>4422.879999999999</x:v>
      </x:c>
    </x:row>
    <x:row r="18" ht="19" customHeight="1">
      <x:c r="B18" s="22" t="str">
        <x:v>Income from equity-accounted associates / JV</x:v>
      </x:c>
      <x:c r="C18" s="262"/>
      <x:c r="D18" s="268" t="n">
        <x:v>377.08</x:v>
      </x:c>
      <x:c r="E18" s="263" t="n">
        <x:f>Assumptions!E61</x:f>
        <x:v>350</x:v>
      </x:c>
      <x:c r="F18" s="263" t="n">
        <x:f>Assumptions!F61</x:f>
        <x:v>375</x:v>
      </x:c>
      <x:c r="G18" s="263" t="n">
        <x:f>Assumptions!G61</x:f>
        <x:v>400</x:v>
      </x:c>
      <x:c r="H18" s="263" t="n">
        <x:f>Assumptions!H61</x:f>
        <x:v>425</x:v>
      </x:c>
      <x:c r="I18" s="263" t="n">
        <x:f>Assumptions!I61</x:f>
        <x:v>450</x:v>
      </x:c>
      <x:c r="J18" s="301" t="n">
        <x:v>85.91</x:v>
      </x:c>
    </x:row>
    <x:row r="19" ht="19" customHeight="1">
      <x:c r="B19" s="22" t="str">
        <x:v>Less: minority / non-controlling income</x:v>
      </x:c>
      <x:c r="C19" s="262"/>
      <x:c r="D19" s="268" t="n">
        <x:v>328.68</x:v>
      </x:c>
      <x:c r="E19" s="263" t="n">
        <x:f>Assumptions!E62</x:f>
        <x:v>450</x:v>
      </x:c>
      <x:c r="F19" s="263" t="n">
        <x:f>Assumptions!F62</x:f>
        <x:v>480</x:v>
      </x:c>
      <x:c r="G19" s="263" t="n">
        <x:f>Assumptions!G62</x:f>
        <x:v>510</x:v>
      </x:c>
      <x:c r="H19" s="263" t="n">
        <x:f>Assumptions!H62</x:f>
        <x:v>540</x:v>
      </x:c>
      <x:c r="I19" s="263" t="n">
        <x:f>Assumptions!I62</x:f>
        <x:v>575</x:v>
      </x:c>
      <x:c r="J19" s="301" t="n">
        <x:v>114.66</x:v>
      </x:c>
    </x:row>
    <x:row r="20" ht="22" customHeight="1">
      <x:c r="B20" s="108" t="str">
        <x:v>GROUP PAT ATTRIBUTABLE TO OWNERS</x:v>
      </x:c>
      <x:c r="C20" s="265"/>
      <x:c r="D20" s="266" t="n">
        <x:v>20689.47</x:v>
      </x:c>
      <x:c r="E20" s="267" t="n">
        <x:f>SUM(E17:E18)-E19</x:f>
        <x:v>16447.33157605</x:v>
      </x:c>
      <x:c r="F20" s="267" t="n">
        <x:f>SUM(F17:F18)-F19</x:f>
        <x:v>17769.988704011124</x:v>
      </x:c>
      <x:c r="G20" s="267" t="n">
        <x:f>SUM(G17:G18)-G19</x:f>
        <x:v>19146.825270597972</x:v>
      </x:c>
      <x:c r="H20" s="267" t="n">
        <x:f>SUM(H17:H18)-H19</x:f>
        <x:v>20751.92978287101</x:v>
      </x:c>
      <x:c r="I20" s="267" t="n">
        <x:f>SUM(I17:I18)-I19</x:f>
        <x:v>22301.782896671437</x:v>
      </x:c>
      <x:c r="J20" s="301" t="n">
        <x:v>4394.13</x:v>
      </x:c>
    </x:row>
    <x:row r="21" ht="19" customHeight="1">
      <x:c r="B21" s="22"/>
      <x:c r="C21" s="262"/>
      <x:c r="D21" s="262"/>
      <x:c r="E21" s="262"/>
      <x:c r="F21" s="262"/>
      <x:c r="G21" s="262"/>
      <x:c r="H21" s="262"/>
      <x:c r="I21" s="262"/>
      <x:c r="J21" s="298"/>
    </x:row>
    <x:row r="22" ht="19" customHeight="1">
      <x:c r="B22" s="22" t="str">
        <x:v>Exceptional accounting gain or (loss), pre-tax</x:v>
      </x:c>
      <x:c r="C22" s="262"/>
      <x:c r="D22" s="268" t="n">
        <x:v>-291.7</x:v>
      </x:c>
      <x:c r="E22" s="264" t="n">
        <x:f>0</x:f>
        <x:v>0</x:v>
      </x:c>
      <x:c r="F22" s="264" t="n">
        <x:f>0</x:f>
        <x:v>0</x:v>
      </x:c>
      <x:c r="G22" s="264" t="n">
        <x:f>0</x:f>
        <x:v>0</x:v>
      </x:c>
      <x:c r="H22" s="264" t="n">
        <x:f>0</x:f>
        <x:v>0</x:v>
      </x:c>
      <x:c r="I22" s="264" t="n">
        <x:f>0</x:f>
        <x:v>0</x:v>
      </x:c>
      <x:c r="J22" s="301" t="n">
        <x:v>405.88</x:v>
      </x:c>
    </x:row>
    <x:row r="23" ht="22" customHeight="1">
      <x:c r="B23" s="96" t="str">
        <x:v>Group reported PAT including minority interests</x:v>
      </x:c>
      <x:c r="C23" s="269"/>
      <x:c r="D23" s="270" t="n">
        <x:v>21018.15</x:v>
      </x:c>
      <x:c r="E23" s="271" t="n">
        <x:f>SUM(E17:E18)</x:f>
        <x:v>16897.33157605</x:v>
      </x:c>
      <x:c r="F23" s="271" t="n">
        <x:f>SUM(F17:F18)</x:f>
        <x:v>18249.988704011124</x:v>
      </x:c>
      <x:c r="G23" s="271" t="n">
        <x:f>SUM(G17:G18)</x:f>
        <x:v>19656.825270597972</x:v>
      </x:c>
      <x:c r="H23" s="271" t="n">
        <x:f>SUM(H17:H18)</x:f>
        <x:v>21291.92978287101</x:v>
      </x:c>
      <x:c r="I23" s="271" t="n">
        <x:f>SUM(I17:I18)</x:f>
        <x:v>22876.782896671437</x:v>
      </x:c>
      <x:c r="J23" s="301" t="n">
        <x:v>4508.79</x:v>
      </x:c>
    </x:row>
    <x:row r="24" ht="19" customHeight="1">
      <x:c r="B24" s="22"/>
      <x:c r="C24" s="262"/>
      <x:c r="D24" s="262"/>
      <x:c r="E24" s="262"/>
      <x:c r="F24" s="262"/>
      <x:c r="G24" s="262"/>
      <x:c r="H24" s="262"/>
      <x:c r="I24" s="262"/>
      <x:c r="J24" s="298"/>
    </x:row>
    <x:row r="25" ht="19" customHeight="1">
      <x:c r="B25" s="22" t="str">
        <x:v>Group revenue less standalone revenue</x:v>
      </x:c>
      <x:c r="C25" s="262"/>
      <x:c r="D25" s="264" t="n">
        <x:f>D9-D7</x:f>
        <x:v>8273.220000000001</x:v>
      </x:c>
      <x:c r="E25" s="264" t="n">
        <x:f>E9-E7</x:f>
        <x:v>10526.685599999997</x:v>
      </x:c>
      <x:c r="F25" s="264" t="n">
        <x:f>F9-F7</x:f>
        <x:v>11579.354160000003</x:v>
      </x:c>
      <x:c r="G25" s="264" t="n">
        <x:f>G9-G7</x:f>
        <x:v>12621.4960344</x:v>
      </x:c>
      <x:c r="H25" s="264" t="n">
        <x:f>H9-H7</x:f>
        <x:v>13631.215717151994</x:v>
      </x:c>
      <x:c r="I25" s="264" t="n">
        <x:f>I9-I7</x:f>
        <x:v>14585.400817352638</x:v>
      </x:c>
      <x:c r="J25" s="300" t="n">
        <x:f>J9-J7</x:f>
        <x:v>2580.0699999999997</x:v>
      </x:c>
    </x:row>
    <x:row r="26" ht="19" customHeight="1">
      <x:c r="B26" s="22" t="str">
        <x:v>Group PAT owners less standalone continuing PAT</x:v>
      </x:c>
      <x:c r="C26" s="262"/>
      <x:c r="D26" s="263" t="n">
        <x:f>D20-Income_Statement!D25</x:f>
        <x:v>403.0499999999993</x:v>
      </x:c>
      <x:c r="E26" s="263" t="n">
        <x:f>E20-Income_Statement!E25</x:f>
        <x:v>1096.7999999999993</x:v>
      </x:c>
      <x:c r="F26" s="263" t="n">
        <x:f>F20-Income_Statement!F25</x:f>
        <x:v>1204</x:v>
      </x:c>
      <x:c r="G26" s="263" t="n">
        <x:f>G20-Income_Statement!G25</x:f>
        <x:v>1318.6800000000003</x:v>
      </x:c>
      <x:c r="H26" s="263" t="n">
        <x:f>H20-Income_Statement!H25</x:f>
        <x:v>1433.3600000000006</x:v>
      </x:c>
      <x:c r="I26" s="263" t="n">
        <x:f>I20-Income_Statement!I25</x:f>
        <x:v>1543.0399999999972</x:v>
      </x:c>
      <x:c r="J26" s="299" t="n">
        <x:f>J20-Historic_IS!E20</x:f>
        <x:v>815.31</x:v>
      </x:c>
    </x:row>
    <x:row r="27" ht="19" customHeight="1">
      <x:c r="B27" s="22" t="str">
        <x:v>Q1 non-recurring Sproutlife remeasurement gain (included above)</x:v>
      </x:c>
      <x:c r="C27" s="262"/>
      <x:c r="D27" s="268" t="n">
        <x:v>0</x:v>
      </x:c>
      <x:c r="E27" s="264" t="n">
        <x:f>0</x:f>
        <x:v>0</x:v>
      </x:c>
      <x:c r="F27" s="264" t="n">
        <x:f>0</x:f>
        <x:v>0</x:v>
      </x:c>
      <x:c r="G27" s="264" t="n">
        <x:f>0</x:f>
        <x:v>0</x:v>
      </x:c>
      <x:c r="H27" s="264" t="n">
        <x:f>0</x:f>
        <x:v>0</x:v>
      </x:c>
      <x:c r="I27" s="264" t="n">
        <x:f>0</x:f>
        <x:v>0</x:v>
      </x:c>
      <x:c r="J27" s="301" t="n">
        <x:v>405.88</x:v>
      </x:c>
    </x:row>
    <x:row r="28" ht="19" customHeight="1">
      <x:c r="B28" s="22"/>
      <x:c r="C28" s="262"/>
      <x:c r="D28" s="262"/>
      <x:c r="E28" s="262"/>
      <x:c r="F28" s="262"/>
      <x:c r="G28" s="262"/>
      <x:c r="H28" s="262"/>
      <x:c r="I28" s="262"/>
      <x:c r="J28" s="298"/>
    </x:row>
    <x:row r="29" ht="21" customHeight="1">
      <x:c r="B29" s="32" t="str">
        <x:v>GROUP ACCOUNTING / VALUATION GUARDRAILS</x:v>
      </x:c>
      <x:c r="C29" s="256"/>
      <x:c r="D29" s="256"/>
      <x:c r="E29" s="256"/>
      <x:c r="F29" s="256"/>
      <x:c r="G29" s="256"/>
      <x:c r="H29" s="256"/>
      <x:c r="I29" s="256"/>
      <x:c r="J29" s="298"/>
    </x:row>
    <x:row r="30" ht="19" customHeight="1">
      <x:c r="B30" s="22"/>
      <x:c r="C30" s="262"/>
      <x:c r="D30" s="262"/>
      <x:c r="E30" s="262"/>
      <x:c r="F30" s="262"/>
      <x:c r="G30" s="262"/>
      <x:c r="H30" s="262"/>
      <x:c r="I30" s="262"/>
      <x:c r="J30" s="298"/>
    </x:row>
    <x:row r="31" ht="27" customHeight="1">
      <x:c r="B31" s="120" t="str">
        <x:v>FY26 audited consolidated revenue ₹89,913.33 crore vs standalone ₹81,640.11 crore; group-wide profit attributable to shareholders ₹20,689.47 crore (including equity-accounted associate profit).</x:v>
      </x:c>
      <x:c r="C31" s="272"/>
      <x:c r="D31" s="272"/>
      <x:c r="E31" s="272"/>
      <x:c r="F31" s="272"/>
      <x:c r="G31" s="272"/>
      <x:c r="H31" s="272"/>
      <x:c r="I31" s="272"/>
      <x:c r="J31" s="298"/>
    </x:row>
    <x:row r="32" ht="27" customHeight="1">
      <x:c r="B32" s="120" t="str">
        <x:v>Q1 FY27 group net owners PAT includes ₹405.88 crore one-off pre-tax Sproutlife stake remeasurement gain; do not extrapolate the statutory quarter PAT before adjustment.</x:v>
      </x:c>
      <x:c r="C32" s="272"/>
      <x:c r="D32" s="272"/>
      <x:c r="E32" s="272"/>
      <x:c r="F32" s="272"/>
      <x:c r="G32" s="272"/>
      <x:c r="H32" s="272"/>
      <x:c r="I32" s="272"/>
      <x:c r="J32" s="298"/>
    </x:row>
    <x:row r="33" ht="27" customHeight="1">
      <x:c r="B33" s="120" t="str">
        <x:v>The forward group-only PBT, other income, associate profit and minority contribution are analyst sensitivities; full consolidated balance-sheet integration requires material subsidiaries’ detailed debt/cash schedules.</x:v>
      </x:c>
      <x:c r="C33" s="272"/>
      <x:c r="D33" s="272"/>
      <x:c r="E33" s="272"/>
      <x:c r="F33" s="272"/>
      <x:c r="G33" s="272"/>
      <x:c r="H33" s="272"/>
      <x:c r="I33" s="272"/>
      <x:c r="J33" s="298"/>
    </x:row>
    <x:row r="34" ht="27" customHeight="1">
      <x:c r="B34" s="120" t="str">
        <x:v>ITC Hotels associate interest is in the consolidated equity-accounted profits and in assets: Task 3 must isolate Hotels ownership and guard against double counting when constructing SOTP.</x:v>
      </x:c>
      <x:c r="C34" s="272"/>
      <x:c r="D34" s="272"/>
      <x:c r="E34" s="272"/>
      <x:c r="F34" s="272"/>
      <x:c r="G34" s="272"/>
      <x:c r="H34" s="272"/>
      <x:c r="I34" s="272"/>
      <x:c r="J34" s="298"/>
    </x:row>
    <x:row r="35" ht="27" customHeight="1">
      <x:c r="B35" s="120" t="str">
        <x:v>Proposed Happiest Minds combination is NOT assumed to have closed. Group incremental bridge does not include acquired Happiest Minds turnover or post-merger minority economics.</x:v>
      </x:c>
      <x:c r="C35" s="272"/>
      <x:c r="D35" s="272"/>
      <x:c r="E35" s="272"/>
      <x:c r="F35" s="272"/>
      <x:c r="G35" s="272"/>
      <x:c r="H35" s="272"/>
      <x:c r="I35" s="272"/>
      <x:c r="J35" s="298"/>
    </x:row>
    <x:row r="36" ht="19" customHeight="1">
      <x:c r="B36" s="22"/>
      <x:c r="C36" s="262"/>
      <x:c r="D36" s="262"/>
      <x:c r="E36" s="262"/>
      <x:c r="F36" s="262"/>
      <x:c r="G36" s="262"/>
      <x:c r="H36" s="262"/>
      <x:c r="I36" s="262"/>
      <x:c r="J36" s="298"/>
    </x:row>
    <x:row r="37" ht="19" customHeight="1">
      <x:c r="B37" s="22"/>
      <x:c r="C37" s="262"/>
      <x:c r="D37" s="262"/>
      <x:c r="E37" s="262"/>
      <x:c r="F37" s="262"/>
      <x:c r="G37" s="262"/>
      <x:c r="H37" s="262"/>
      <x:c r="I37" s="262"/>
      <x:c r="J37" s="298"/>
    </x:row>
    <x:row r="38" ht="19" customHeight="1">
      <x:c r="B38" s="22"/>
      <x:c r="C38" s="262"/>
      <x:c r="D38" s="262"/>
      <x:c r="E38" s="262"/>
      <x:c r="F38" s="262"/>
      <x:c r="G38" s="262"/>
      <x:c r="H38" s="262"/>
      <x:c r="I38" s="262"/>
      <x:c r="J38" s="298"/>
    </x:row>
    <x:row r="39" ht="19" customHeight="1">
      <x:c r="B39" s="22"/>
      <x:c r="C39" s="262"/>
      <x:c r="D39" s="262"/>
      <x:c r="E39" s="262"/>
      <x:c r="F39" s="262"/>
      <x:c r="G39" s="262"/>
      <x:c r="H39" s="262"/>
      <x:c r="I39" s="262"/>
      <x:c r="J39" s="298"/>
    </x:row>
    <x:row r="40" ht="19" customHeight="1">
      <x:c r="B40" s="22"/>
      <x:c r="C40" s="262"/>
      <x:c r="D40" s="262"/>
      <x:c r="E40" s="262"/>
      <x:c r="F40" s="262"/>
      <x:c r="G40" s="262"/>
      <x:c r="H40" s="262"/>
      <x:c r="I40" s="262"/>
      <x:c r="J40" s="298"/>
    </x:row>
    <x:row r="41" ht="19" customHeight="1">
      <x:c r="B41" s="22"/>
      <x:c r="C41" s="262"/>
      <x:c r="D41" s="262"/>
      <x:c r="E41" s="262"/>
      <x:c r="F41" s="262"/>
      <x:c r="G41" s="262"/>
      <x:c r="H41" s="262"/>
      <x:c r="I41" s="262"/>
      <x:c r="J41" s="298"/>
    </x:row>
    <x:row r="42" ht="19" customHeight="1">
      <x:c r="B42" s="22"/>
      <x:c r="C42" s="262"/>
      <x:c r="D42" s="262"/>
      <x:c r="E42" s="262"/>
      <x:c r="F42" s="262"/>
      <x:c r="G42" s="262"/>
      <x:c r="H42" s="262"/>
      <x:c r="I42" s="262"/>
      <x:c r="J42" s="298"/>
    </x:row>
    <x:row r="43" ht="19" customHeight="1">
      <x:c r="B43" s="22"/>
      <x:c r="C43" s="262"/>
      <x:c r="D43" s="262"/>
      <x:c r="E43" s="262"/>
      <x:c r="F43" s="262"/>
      <x:c r="G43" s="262"/>
      <x:c r="H43" s="262"/>
      <x:c r="I43" s="262"/>
      <x:c r="J43" s="298"/>
    </x:row>
    <x:row r="44" ht="19" customHeight="1">
      <x:c r="B44" s="22"/>
      <x:c r="C44" s="262"/>
      <x:c r="D44" s="262"/>
      <x:c r="E44" s="262"/>
      <x:c r="F44" s="262"/>
      <x:c r="G44" s="262"/>
      <x:c r="H44" s="262"/>
      <x:c r="I44" s="262"/>
      <x:c r="J44" s="298"/>
    </x:row>
    <x:row r="45" ht="19" customHeight="1">
      <x:c r="B45" s="22"/>
      <x:c r="C45" s="262"/>
      <x:c r="D45" s="262"/>
      <x:c r="E45" s="262"/>
      <x:c r="F45" s="262"/>
      <x:c r="G45" s="262"/>
      <x:c r="H45" s="262"/>
      <x:c r="I45" s="262"/>
      <x:c r="J45" s="298"/>
    </x:row>
    <x:row r="46" ht="19" customHeight="1">
      <x:c r="B46" s="22"/>
      <x:c r="C46" s="262"/>
      <x:c r="D46" s="262"/>
      <x:c r="E46" s="262"/>
      <x:c r="F46" s="262"/>
      <x:c r="G46" s="262"/>
      <x:c r="H46" s="262"/>
      <x:c r="I46" s="262"/>
      <x:c r="J46" s="298"/>
    </x:row>
    <x:row r="47" ht="19" customHeight="1">
      <x:c r="B47" s="22"/>
      <x:c r="C47" s="262"/>
      <x:c r="D47" s="262"/>
      <x:c r="E47" s="262"/>
      <x:c r="F47" s="262"/>
      <x:c r="G47" s="262"/>
      <x:c r="H47" s="262"/>
      <x:c r="I47" s="262"/>
      <x:c r="J47" s="298"/>
    </x:row>
    <x:row r="48" ht="19" customHeight="1">
      <x:c r="B48" s="22"/>
      <x:c r="C48" s="262"/>
      <x:c r="D48" s="262"/>
      <x:c r="E48" s="262"/>
      <x:c r="F48" s="262"/>
      <x:c r="G48" s="262"/>
      <x:c r="H48" s="262"/>
      <x:c r="I48" s="262"/>
      <x:c r="J48" s="298"/>
    </x:row>
    <x:row r="49" ht="19" customHeight="1">
      <x:c r="B49" s="22"/>
      <x:c r="C49" s="262"/>
      <x:c r="D49" s="262"/>
      <x:c r="E49" s="262"/>
      <x:c r="F49" s="262"/>
      <x:c r="G49" s="262"/>
      <x:c r="H49" s="262"/>
      <x:c r="I49" s="262"/>
      <x:c r="J49" s="298"/>
    </x:row>
    <x:row r="50" ht="19" customHeight="1">
      <x:c r="B50" s="22"/>
      <x:c r="C50" s="262"/>
      <x:c r="D50" s="262"/>
      <x:c r="E50" s="262"/>
      <x:c r="F50" s="262"/>
      <x:c r="G50" s="262"/>
      <x:c r="H50" s="262"/>
      <x:c r="I50" s="262"/>
      <x:c r="J50" s="298"/>
    </x:row>
    <x:row r="51" ht="19" customHeight="1">
      <x:c r="B51" s="22"/>
      <x:c r="C51" s="262"/>
      <x:c r="D51" s="262"/>
      <x:c r="E51" s="262"/>
      <x:c r="F51" s="262"/>
      <x:c r="G51" s="262"/>
      <x:c r="H51" s="262"/>
      <x:c r="I51" s="262"/>
      <x:c r="J51" s="298"/>
    </x:row>
    <x:row r="52" ht="19" customHeight="1">
      <x:c r="B52" s="22"/>
      <x:c r="C52" s="262"/>
      <x:c r="D52" s="262"/>
      <x:c r="E52" s="262"/>
      <x:c r="F52" s="262"/>
      <x:c r="G52" s="262"/>
      <x:c r="H52" s="262"/>
      <x:c r="I52" s="262"/>
      <x:c r="J52" s="298"/>
    </x:row>
    <x:row r="53" ht="19" customHeight="1">
      <x:c r="B53" s="22"/>
      <x:c r="C53" s="262"/>
      <x:c r="D53" s="262"/>
      <x:c r="E53" s="262"/>
      <x:c r="F53" s="262"/>
      <x:c r="G53" s="262"/>
      <x:c r="H53" s="262"/>
      <x:c r="I53" s="262"/>
      <x:c r="J53" s="298"/>
    </x:row>
    <x:row r="54" ht="19" customHeight="1">
      <x:c r="B54" s="22"/>
      <x:c r="C54" s="262"/>
      <x:c r="D54" s="262"/>
      <x:c r="E54" s="262"/>
      <x:c r="F54" s="262"/>
      <x:c r="G54" s="262"/>
      <x:c r="H54" s="262"/>
      <x:c r="I54" s="262"/>
      <x:c r="J54" s="298"/>
    </x:row>
    <x:row r="55" ht="19" customHeight="1">
      <x:c r="B55" s="22"/>
      <x:c r="C55" s="262"/>
      <x:c r="D55" s="262"/>
      <x:c r="E55" s="262"/>
      <x:c r="F55" s="262"/>
      <x:c r="G55" s="262"/>
      <x:c r="H55" s="262"/>
      <x:c r="I55" s="262"/>
      <x:c r="J55" s="298"/>
    </x:row>
    <x:row r="56" ht="19" customHeight="1">
      <x:c r="B56" s="22"/>
      <x:c r="C56" s="262"/>
      <x:c r="D56" s="262"/>
      <x:c r="E56" s="262"/>
      <x:c r="F56" s="262"/>
      <x:c r="G56" s="262"/>
      <x:c r="H56" s="262"/>
      <x:c r="I56" s="262"/>
      <x:c r="J56" s="298"/>
    </x:row>
    <x:row r="57" ht="19" customHeight="1">
      <x:c r="B57" s="22"/>
      <x:c r="C57" s="262"/>
      <x:c r="D57" s="262"/>
      <x:c r="E57" s="262"/>
      <x:c r="F57" s="262"/>
      <x:c r="G57" s="262"/>
      <x:c r="H57" s="262"/>
      <x:c r="I57" s="262"/>
      <x:c r="J57" s="298"/>
    </x:row>
    <x:row r="58" ht="19" customHeight="1">
      <x:c r="B58" s="22"/>
      <x:c r="C58" s="262"/>
      <x:c r="D58" s="262"/>
      <x:c r="E58" s="262"/>
      <x:c r="F58" s="262"/>
      <x:c r="G58" s="262"/>
      <x:c r="H58" s="262"/>
      <x:c r="I58" s="262"/>
      <x:c r="J58" s="298"/>
    </x:row>
    <x:row r="59" ht="19" customHeight="1">
      <x:c r="B59" s="22"/>
      <x:c r="C59" s="262"/>
      <x:c r="D59" s="262"/>
      <x:c r="E59" s="262"/>
      <x:c r="F59" s="262"/>
      <x:c r="G59" s="262"/>
      <x:c r="H59" s="262"/>
      <x:c r="I59" s="262"/>
      <x:c r="J59" s="298"/>
    </x:row>
    <x:row r="60" ht="19" customHeight="1">
      <x:c r="B60" s="22"/>
      <x:c r="C60" s="262"/>
      <x:c r="D60" s="262"/>
      <x:c r="E60" s="262"/>
      <x:c r="F60" s="262"/>
      <x:c r="G60" s="262"/>
      <x:c r="H60" s="262"/>
      <x:c r="I60" s="262"/>
      <x:c r="J60" s="298"/>
    </x:row>
    <x:row r="61" ht="19" customHeight="1">
      <x:c r="B61" s="22"/>
      <x:c r="C61" s="262"/>
      <x:c r="D61" s="262"/>
      <x:c r="E61" s="262"/>
      <x:c r="F61" s="262"/>
      <x:c r="G61" s="262"/>
      <x:c r="H61" s="262"/>
      <x:c r="I61" s="262"/>
      <x:c r="J61" s="298"/>
    </x:row>
    <x:row r="62" ht="19" customHeight="1">
      <x:c r="B62" s="22"/>
      <x:c r="C62" s="262"/>
      <x:c r="D62" s="262"/>
      <x:c r="E62" s="262"/>
      <x:c r="F62" s="262"/>
      <x:c r="G62" s="262"/>
      <x:c r="H62" s="262"/>
      <x:c r="I62" s="262"/>
      <x:c r="J62" s="298"/>
    </x:row>
    <x:row r="63" ht="19" customHeight="1">
      <x:c r="B63" s="22"/>
      <x:c r="C63" s="262"/>
      <x:c r="D63" s="262"/>
      <x:c r="E63" s="262"/>
      <x:c r="F63" s="262"/>
      <x:c r="G63" s="262"/>
      <x:c r="H63" s="262"/>
      <x:c r="I63" s="262"/>
      <x:c r="J63" s="298"/>
    </x:row>
    <x:row r="64" ht="19" customHeight="1">
      <x:c r="B64" s="22"/>
      <x:c r="C64" s="262"/>
      <x:c r="D64" s="262"/>
      <x:c r="E64" s="262"/>
      <x:c r="F64" s="262"/>
      <x:c r="G64" s="262"/>
      <x:c r="H64" s="262"/>
      <x:c r="I64" s="262"/>
      <x:c r="J64" s="298"/>
    </x:row>
    <x:row r="65" ht="19" customHeight="1">
      <x:c r="B65" s="22"/>
      <x:c r="C65" s="262"/>
      <x:c r="D65" s="262"/>
      <x:c r="E65" s="262"/>
      <x:c r="F65" s="262"/>
      <x:c r="G65" s="262"/>
      <x:c r="H65" s="262"/>
      <x:c r="I65" s="262"/>
      <x:c r="J65" s="298"/>
    </x:row>
    <x:row r="66" ht="19" customHeight="1">
      <x:c r="B66" s="22"/>
      <x:c r="C66" s="262"/>
      <x:c r="D66" s="262"/>
      <x:c r="E66" s="262"/>
      <x:c r="F66" s="262"/>
      <x:c r="G66" s="262"/>
      <x:c r="H66" s="262"/>
      <x:c r="I66" s="262"/>
      <x:c r="J66" s="298"/>
    </x:row>
    <x:row r="67" ht="19" customHeight="1">
      <x:c r="B67" s="22"/>
      <x:c r="C67" s="262"/>
      <x:c r="D67" s="262"/>
      <x:c r="E67" s="262"/>
      <x:c r="F67" s="262"/>
      <x:c r="G67" s="262"/>
      <x:c r="H67" s="262"/>
      <x:c r="I67" s="262"/>
      <x:c r="J67" s="298"/>
    </x:row>
    <x:row r="68" ht="19" customHeight="1">
      <x:c r="B68" s="22"/>
      <x:c r="C68" s="262"/>
      <x:c r="D68" s="262"/>
      <x:c r="E68" s="262"/>
      <x:c r="F68" s="262"/>
      <x:c r="G68" s="262"/>
      <x:c r="H68" s="262"/>
      <x:c r="I68" s="262"/>
      <x:c r="J68" s="298"/>
    </x:row>
    <x:row r="69" ht="19" customHeight="1">
      <x:c r="B69" s="22"/>
      <x:c r="C69" s="262"/>
      <x:c r="D69" s="262"/>
      <x:c r="E69" s="262"/>
      <x:c r="F69" s="262"/>
      <x:c r="G69" s="262"/>
      <x:c r="H69" s="262"/>
      <x:c r="I69" s="262"/>
      <x:c r="J69" s="298"/>
    </x:row>
    <x:row r="70" ht="19" customHeight="1">
      <x:c r="B70" s="22"/>
      <x:c r="C70" s="262"/>
      <x:c r="D70" s="262"/>
      <x:c r="E70" s="262"/>
      <x:c r="F70" s="262"/>
      <x:c r="G70" s="262"/>
      <x:c r="H70" s="262"/>
      <x:c r="I70" s="262"/>
      <x:c r="J70" s="298"/>
    </x:row>
    <x:row r="71" ht="19" customHeight="1">
      <x:c r="B71" s="22"/>
      <x:c r="C71" s="262"/>
      <x:c r="D71" s="262"/>
      <x:c r="E71" s="262"/>
      <x:c r="F71" s="262"/>
      <x:c r="G71" s="262"/>
      <x:c r="H71" s="262"/>
      <x:c r="I71" s="262"/>
      <x:c r="J71" s="298"/>
    </x:row>
    <x:row r="72" ht="19" customHeight="1">
      <x:c r="B72" s="22"/>
      <x:c r="C72" s="262"/>
      <x:c r="D72" s="262"/>
      <x:c r="E72" s="262"/>
      <x:c r="F72" s="262"/>
      <x:c r="G72" s="262"/>
      <x:c r="H72" s="262"/>
      <x:c r="I72" s="262"/>
      <x:c r="J72" s="298"/>
    </x:row>
    <x:row r="73" ht="19" customHeight="1">
      <x:c r="B73" s="22"/>
      <x:c r="C73" s="262"/>
      <x:c r="D73" s="262"/>
      <x:c r="E73" s="262"/>
      <x:c r="F73" s="262"/>
      <x:c r="G73" s="262"/>
      <x:c r="H73" s="262"/>
      <x:c r="I73" s="262"/>
      <x:c r="J73" s="298"/>
    </x:row>
    <x:row r="74" ht="19" customHeight="1">
      <x:c r="B74" s="22"/>
      <x:c r="C74" s="262"/>
      <x:c r="D74" s="262"/>
      <x:c r="E74" s="262"/>
      <x:c r="F74" s="262"/>
      <x:c r="G74" s="262"/>
      <x:c r="H74" s="262"/>
      <x:c r="I74" s="262"/>
      <x:c r="J74" s="298"/>
    </x:row>
    <x:row r="75" ht="19" customHeight="1">
      <x:c r="B75" s="22"/>
      <x:c r="C75" s="262"/>
      <x:c r="D75" s="262"/>
      <x:c r="E75" s="262"/>
      <x:c r="F75" s="262"/>
      <x:c r="G75" s="262"/>
      <x:c r="H75" s="262"/>
      <x:c r="I75" s="262"/>
      <x:c r="J75" s="298"/>
    </x:row>
    <x:row r="76" ht="19" customHeight="1">
      <x:c r="B76" s="22"/>
      <x:c r="C76" s="262"/>
      <x:c r="D76" s="262"/>
      <x:c r="E76" s="262"/>
      <x:c r="F76" s="262"/>
      <x:c r="G76" s="262"/>
      <x:c r="H76" s="262"/>
      <x:c r="I76" s="262"/>
      <x:c r="J76" s="298"/>
    </x:row>
    <x:row r="77" ht="19" customHeight="1">
      <x:c r="B77" s="22"/>
      <x:c r="C77" s="262"/>
      <x:c r="D77" s="262"/>
      <x:c r="E77" s="262"/>
      <x:c r="F77" s="262"/>
      <x:c r="G77" s="262"/>
      <x:c r="H77" s="262"/>
      <x:c r="I77" s="262"/>
      <x:c r="J77" s="298"/>
    </x:row>
    <x:row r="78" ht="19" customHeight="1">
      <x:c r="B78" s="22"/>
      <x:c r="C78" s="262"/>
      <x:c r="D78" s="262"/>
      <x:c r="E78" s="262"/>
      <x:c r="F78" s="262"/>
      <x:c r="G78" s="262"/>
      <x:c r="H78" s="262"/>
      <x:c r="I78" s="262"/>
      <x:c r="J78" s="298"/>
    </x:row>
    <x:row r="79" ht="19" customHeight="1">
      <x:c r="B79" s="22"/>
      <x:c r="C79" s="262"/>
      <x:c r="D79" s="262"/>
      <x:c r="E79" s="262"/>
      <x:c r="F79" s="262"/>
      <x:c r="G79" s="262"/>
      <x:c r="H79" s="262"/>
      <x:c r="I79" s="262"/>
      <x:c r="J79" s="298"/>
    </x:row>
    <x:row r="80" ht="19" customHeight="1">
      <x:c r="B80" s="22"/>
      <x:c r="C80" s="262"/>
      <x:c r="D80" s="262"/>
      <x:c r="E80" s="262"/>
      <x:c r="F80" s="262"/>
      <x:c r="G80" s="262"/>
      <x:c r="H80" s="262"/>
      <x:c r="I80" s="262"/>
      <x:c r="J80" s="298"/>
    </x:row>
    <x:row r="81" ht="19" customHeight="1">
      <x:c r="B81" s="22"/>
      <x:c r="C81" s="262"/>
      <x:c r="D81" s="262"/>
      <x:c r="E81" s="262"/>
      <x:c r="F81" s="262"/>
      <x:c r="G81" s="262"/>
      <x:c r="H81" s="262"/>
      <x:c r="I81" s="262"/>
      <x:c r="J81" s="298"/>
    </x:row>
    <x:row r="82" ht="19" customHeight="1">
      <x:c r="B82" s="22"/>
      <x:c r="C82" s="262"/>
      <x:c r="D82" s="262"/>
      <x:c r="E82" s="262"/>
      <x:c r="F82" s="262"/>
      <x:c r="G82" s="262"/>
      <x:c r="H82" s="262"/>
      <x:c r="I82" s="262"/>
      <x:c r="J82" s="298"/>
    </x:row>
  </x:sheetData>
  <x:mergeCells>
    <x:mergeCell ref="B2:I2"/>
    <x:mergeCell ref="B3:I3"/>
    <x:mergeCell ref="B6:I6"/>
    <x:mergeCell ref="B29:I29"/>
    <x:mergeCell ref="B31:I31"/>
    <x:mergeCell ref="B32:I32"/>
    <x:mergeCell ref="B33:I33"/>
    <x:mergeCell ref="B34:I34"/>
    <x:mergeCell ref="B35:I35"/>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 hidden="0" customWidth="1"/>
    <x:col min="2" max="2" width="44" hidden="0" customWidth="1"/>
    <x:col min="3" max="3" width="17" hidden="0" customWidth="1"/>
    <x:col min="4" max="4" width="19" hidden="0" customWidth="1"/>
    <x:col min="5" max="5" width="60" hidden="0" customWidth="1"/>
    <x:col min="6" max="6" width="85" hidden="0" customWidth="1"/>
    <x:col min="7" max="7" width="13" hidden="0" customWidth="1"/>
    <x:col min="8" max="8" width="13" hidden="0" customWidth="1"/>
    <x:col min="9" max="9" width="13" hidden="0" customWidth="1"/>
  </x:cols>
  <x:sheetData>
    <x:row r="2" ht="35" customHeight="1">
      <x:c r="B2" s="317" t="str">
        <x:v>VALUATION  |  SOURCE &amp; ASSUMPTIONS</x:v>
      </x:c>
      <x:c r="C2" s="317"/>
      <x:c r="D2" s="317"/>
      <x:c r="E2" s="317"/>
      <x:c r="F2" s="317"/>
      <x:c r="G2" s="317"/>
      <x:c r="H2" s="317"/>
      <x:c r="I2" s="317"/>
    </x:row>
    <x:row r="3" ht="26" customHeight="1">
      <x:c r="B3" s="319" t="str">
        <x:v>Fixed market snapshot 25 Sep 2026; analyst overrides are in yellow and blue. All currency ₹ crore or ₹ per share.</x:v>
      </x:c>
      <x:c r="C3" s="319"/>
      <x:c r="D3" s="319"/>
      <x:c r="E3" s="319"/>
      <x:c r="F3" s="319"/>
      <x:c r="G3" s="319"/>
      <x:c r="H3" s="319"/>
      <x:c r="I3" s="319"/>
    </x:row>
    <x:row r="4" ht="24" customHeight="1">
      <x:c r="B4" s="323" t="str">
        <x:v>DESCRIPTION</x:v>
      </x:c>
      <x:c r="C4" s="322" t="str">
        <x:v>INPUT</x:v>
      </x:c>
      <x:c r="D4" s="322" t="str">
        <x:v>UNIT</x:v>
      </x:c>
      <x:c r="E4" s="322" t="str">
        <x:v>EVIDENCE / MODEL JUDGMENT</x:v>
      </x:c>
      <x:c r="F4" s="322" t="str">
        <x:v>PUBLIC SOURCE URL</x:v>
      </x:c>
      <x:c r="G4" s="322" t="str"/>
      <x:c r="H4" s="322" t="str"/>
      <x:c r="I4" s="322" t="str"/>
    </x:row>
    <x:row r="5" ht="20" customHeight="1">
      <x:c r="C5" s="314"/>
      <x:c r="D5" s="314"/>
      <x:c r="E5" s="314"/>
      <x:c r="F5" s="314"/>
      <x:c r="G5" s="314"/>
      <x:c r="H5" s="314"/>
      <x:c r="I5" s="314"/>
    </x:row>
    <x:row r="6" ht="24" customHeight="1">
      <x:c r="B6" s="323" t="str">
        <x:v>MARKET OBSERVATIONS  •  DATE-STAMPED</x:v>
      </x:c>
      <x:c r="C6" s="326"/>
      <x:c r="D6" s="326"/>
      <x:c r="E6" s="326"/>
      <x:c r="F6" s="326"/>
      <x:c r="G6" s="326"/>
      <x:c r="H6" s="326"/>
      <x:c r="I6" s="326"/>
    </x:row>
    <x:row r="7" ht="20" customHeight="1">
      <x:c r="B7" t="str">
        <x:v>ITC NSE last completed close</x:v>
      </x:c>
      <x:c r="C7" s="330" t="n">
        <x:v>268.9</x:v>
      </x:c>
      <x:c r="D7" s="314" t="str">
        <x:v>₹/share</x:v>
      </x:c>
      <x:c r="E7" s="314" t="str">
        <x:v>25 Sep 2026 NSE close, not intraday 28 Sep</x:v>
      </x:c>
      <x:c r="F7" s="314" t="str">
        <x:v>https://stockanalysis.com/quote/nse/ITC/history/</x:v>
      </x:c>
      <x:c r="G7" s="314"/>
      <x:c r="H7" s="314"/>
      <x:c r="I7" s="314"/>
    </x:row>
    <x:row r="8" ht="20" customHeight="1">
      <x:c r="B8" t="str">
        <x:v>ITC current equity shares outstanding</x:v>
      </x:c>
      <x:c r="C8" s="331" t="n">
        <x:v>1253.0517081</x:v>
      </x:c>
      <x:c r="D8" s="314" t="str">
        <x:v>crore shares</x:v>
      </x:c>
      <x:c r="E8" s="314" t="str">
        <x:v>Company register, 18 Sep 2026; share count distinct from projected diluted count</x:v>
      </x:c>
      <x:c r="F8" s="314" t="str">
        <x:v>https://itcportal.com/investors.html</x:v>
      </x:c>
      <x:c r="G8" s="314"/>
      <x:c r="H8" s="314"/>
      <x:c r="I8" s="314"/>
    </x:row>
    <x:row r="9" ht="20" customHeight="1">
      <x:c r="B9" t="str">
        <x:v>ITC Hotels NSE close</x:v>
      </x:c>
      <x:c r="C9" s="330" t="n">
        <x:v>161.9</x:v>
      </x:c>
      <x:c r="D9" s="314" t="str">
        <x:v>₹/share</x:v>
      </x:c>
      <x:c r="E9" s="314" t="str">
        <x:v>25 Sep 2026 NSE close</x:v>
      </x:c>
      <x:c r="F9" s="314" t="str">
        <x:v>https://stockanalysis.com/quote/nse/ITCHOTELS/history/</x:v>
      </x:c>
      <x:c r="G9" s="314"/>
      <x:c r="H9" s="314"/>
      <x:c r="I9" s="314"/>
    </x:row>
    <x:row r="10" ht="20" customHeight="1">
      <x:c r="B10" t="str">
        <x:v>ITC Hotels market capitalization</x:v>
      </x:c>
      <x:c r="C10" s="331" t="n">
        <x:v>33723</x:v>
      </x:c>
      <x:c r="D10" s="314" t="str">
        <x:v>₹ crore</x:v>
      </x:c>
      <x:c r="E10" s="314" t="str">
        <x:v>25 Sep 2026 approximately ₹33,723 crore NSE quotation</x:v>
      </x:c>
      <x:c r="F10" s="314" t="str">
        <x:v>https://stockanalysis.com/quote/nse/ITCHOTELS/market-cap/</x:v>
      </x:c>
      <x:c r="G10" s="314"/>
      <x:c r="H10" s="314"/>
      <x:c r="I10" s="314"/>
    </x:row>
    <x:row r="11" ht="20" customHeight="1">
      <x:c r="B11" t="str">
        <x:v>ITC Hotels ownership (latest)</x:v>
      </x:c>
      <x:c r="C11" s="332" t="n">
        <x:v>0.3985</x:v>
      </x:c>
      <x:c r="D11" s="314" t="str">
        <x:v>%</x:v>
      </x:c>
      <x:c r="E11" s="314" t="str">
        <x:v>39.85% Mar/Jun 2026 vs 39.88% Mar 2025</x:v>
      </x:c>
      <x:c r="F11" s="314" t="str">
        <x:v>https://www.screener.in/company/ITCHOTELS/</x:v>
      </x:c>
      <x:c r="G11" s="314"/>
      <x:c r="H11" s="314"/>
      <x:c r="I11" s="314"/>
    </x:row>
    <x:row r="12" ht="20" customHeight="1">
      <x:c r="B12" t="str">
        <x:v>India benchmark 10-year G-sec risk-free</x:v>
      </x:c>
      <x:c r="C12" s="332" t="n">
        <x:v>0.070686</x:v>
      </x:c>
      <x:c r="D12" s="314" t="str">
        <x:v>%</x:v>
      </x:c>
      <x:c r="E12" s="314" t="str">
        <x:v>18 Sep 2026 weekly closing benchmark 7.0686%; observed, not 25 Sep print</x:v>
      </x:c>
      <x:c r="F12" s="314" t="str">
        <x:v>https://www.reuters.com/world/india/indian-rupee-eyes-portfolio-flows-oil-prices-bonds-face-liquidity-drain-2026-09-21/</x:v>
      </x:c>
      <x:c r="G12" s="314"/>
      <x:c r="H12" s="314"/>
      <x:c r="I12" s="314"/>
    </x:row>
    <x:row r="13" ht="20" customHeight="1">
      <x:c r="C13" s="314"/>
      <x:c r="D13" s="314"/>
      <x:c r="E13" s="314"/>
      <x:c r="F13" s="314"/>
      <x:c r="G13" s="314"/>
      <x:c r="H13" s="314"/>
      <x:c r="I13" s="314"/>
    </x:row>
    <x:row r="14" ht="24" customHeight="1">
      <x:c r="B14" s="323" t="str">
        <x:v>COST OF CAPITAL  •  EXPLICIT ANALYST INPUTS</x:v>
      </x:c>
      <x:c r="C14" s="326"/>
      <x:c r="D14" s="326"/>
      <x:c r="E14" s="326"/>
      <x:c r="F14" s="326"/>
      <x:c r="G14" s="326"/>
      <x:c r="H14" s="326"/>
      <x:c r="I14" s="326"/>
    </x:row>
    <x:row r="15" ht="20" customHeight="1">
      <x:c r="B15" t="str">
        <x:v>India equity risk premium</x:v>
      </x:c>
      <x:c r="C15" s="333" t="n">
        <x:v>0.06</x:v>
      </x:c>
      <x:c r="D15" s="314" t="str">
        <x:v>%</x:v>
      </x:c>
      <x:c r="E15" s="314" t="str">
        <x:v>Analyst long-run premium, not current market quote</x:v>
      </x:c>
      <x:c r="F15" s="314"/>
      <x:c r="G15" s="314"/>
      <x:c r="H15" s="314"/>
      <x:c r="I15" s="314"/>
    </x:row>
    <x:row r="16" ht="20" customHeight="1">
      <x:c r="B16" t="str">
        <x:v>Normalized levered business beta</x:v>
      </x:c>
      <x:c r="C16" s="335" t="n">
        <x:v>0.85</x:v>
      </x:c>
      <x:c r="D16" s="314" t="str">
        <x:v>x</x:v>
      </x:c>
      <x:c r="E16" s="314" t="str">
        <x:v>Analyst 0.85 override (observed 5-year quote beta negative; unsuitable as forward risk input)</x:v>
      </x:c>
      <x:c r="F16" s="314"/>
      <x:c r="G16" s="314"/>
      <x:c r="H16" s="314"/>
      <x:c r="I16" s="314"/>
    </x:row>
    <x:row r="17" ht="20" customHeight="1">
      <x:c r="B17" t="str">
        <x:v>Incremental country/other premium</x:v>
      </x:c>
      <x:c r="C17" s="333" t="n">
        <x:v>0</x:v>
      </x:c>
      <x:c r="D17" s="314" t="str">
        <x:v>%</x:v>
      </x:c>
      <x:c r="E17" s="314" t="str">
        <x:v>No extra premium beyond India risk-free and equity risk premium</x:v>
      </x:c>
      <x:c r="F17" s="314"/>
      <x:c r="G17" s="314"/>
      <x:c r="H17" s="314"/>
      <x:c r="I17" s="314"/>
    </x:row>
    <x:row r="18" ht="20" customHeight="1">
      <x:c r="B18" t="str">
        <x:v>Marginal pre-tax cost of borrowings</x:v>
      </x:c>
      <x:c r="C18" s="333" t="n">
        <x:v>0.085</x:v>
      </x:c>
      <x:c r="D18" s="314" t="str">
        <x:v>%</x:v>
      </x:c>
      <x:c r="E18" s="314" t="str">
        <x:v>Analyst rate; debt financing weight is low</x:v>
      </x:c>
      <x:c r="F18" s="314"/>
      <x:c r="G18" s="314"/>
      <x:c r="H18" s="314"/>
      <x:c r="I18" s="314"/>
    </x:row>
    <x:row r="19" ht="20" customHeight="1">
      <x:c r="B19" t="str">
        <x:v>Marginal cash tax rate</x:v>
      </x:c>
      <x:c r="C19" s="333" t="n">
        <x:v>0.252</x:v>
      </x:c>
      <x:c r="D19" s="314" t="str">
        <x:v>%</x:v>
      </x:c>
      <x:c r="E19" s="314" t="str">
        <x:v>Analyst forecast tax from Assumptions; for unlevered FCFF</x:v>
      </x:c>
      <x:c r="F19" s="314"/>
      <x:c r="G19" s="314"/>
      <x:c r="H19" s="314"/>
      <x:c r="I19" s="314"/>
    </x:row>
    <x:row r="20" ht="20" customHeight="1">
      <x:c r="B20" t="str">
        <x:v>Target equity capital weight</x:v>
      </x:c>
      <x:c r="C20" s="333" t="n">
        <x:v>0.985</x:v>
      </x:c>
      <x:c r="D20" s="314" t="str">
        <x:v>%</x:v>
      </x:c>
      <x:c r="E20" s="314" t="str">
        <x:v>Analyst WACC capital structure; 1.5% debt</x:v>
      </x:c>
      <x:c r="F20" s="314"/>
      <x:c r="G20" s="314"/>
      <x:c r="H20" s="314"/>
      <x:c r="I20" s="314"/>
    </x:row>
    <x:row r="21" ht="20" customHeight="1">
      <x:c r="B21" t="str">
        <x:v>Terminal nominal growth (INR)</x:v>
      </x:c>
      <x:c r="C21" s="333" t="n">
        <x:v>0.04</x:v>
      </x:c>
      <x:c r="D21" s="314" t="str">
        <x:v>%</x:v>
      </x:c>
      <x:c r="E21" s="314" t="str">
        <x:v>Analyst mature nominal perpetual growth, below WACC</x:v>
      </x:c>
      <x:c r="F21" s="314"/>
      <x:c r="G21" s="314"/>
      <x:c r="H21" s="314"/>
      <x:c r="I21" s="314"/>
    </x:row>
    <x:row r="22" ht="20" customHeight="1">
      <x:c r="C22" s="314"/>
      <x:c r="D22" s="314"/>
      <x:c r="E22" s="314"/>
      <x:c r="F22" s="314"/>
      <x:c r="G22" s="314"/>
      <x:c r="H22" s="314"/>
      <x:c r="I22" s="314"/>
    </x:row>
    <x:row r="23" ht="24" customHeight="1">
      <x:c r="B23" s="323" t="str">
        <x:v>SUM-OF-THE-PARTS  •  CASH / OWNERSHIP RULES</x:v>
      </x:c>
      <x:c r="C23" s="326"/>
      <x:c r="D23" s="326"/>
      <x:c r="E23" s="326"/>
      <x:c r="F23" s="326"/>
      <x:c r="G23" s="326"/>
      <x:c r="H23" s="326"/>
      <x:c r="I23" s="326"/>
    </x:row>
    <x:row r="24" ht="20" customHeight="1">
      <x:c r="B24" t="str">
        <x:v>Discount to quoted Hotels associate value</x:v>
      </x:c>
      <x:c r="C24" s="333" t="n">
        <x:v>0.05</x:v>
      </x:c>
      <x:c r="D24" s="314" t="str">
        <x:v>%</x:v>
      </x:c>
      <x:c r="E24" s="314" t="str">
        <x:v>Minority block discount is analyst judgment; remove duplicate associate earnings</x:v>
      </x:c>
      <x:c r="F24" s="314"/>
      <x:c r="G24" s="314"/>
      <x:c r="H24" s="314"/>
      <x:c r="I24" s="314"/>
    </x:row>
    <x:row r="25" ht="20" customHeight="1">
      <x:c r="B25" t="str">
        <x:v>Current investments counted as liquid</x:v>
      </x:c>
      <x:c r="C25" s="333" t="n">
        <x:v>0.85</x:v>
      </x:c>
      <x:c r="D25" s="314" t="str">
        <x:v>%</x:v>
      </x:c>
      <x:c r="E25" s="314" t="str">
        <x:v>15% reserve/haircut against FY26 current investment holdings</x:v>
      </x:c>
      <x:c r="F25" s="314"/>
      <x:c r="G25" s="314"/>
      <x:c r="H25" s="314"/>
      <x:c r="I25" s="314"/>
    </x:row>
    <x:row r="26" ht="20" customHeight="1">
      <x:c r="B26" t="str">
        <x:v>Other bank deposits counted as liquid</x:v>
      </x:c>
      <x:c r="C26" s="333" t="n">
        <x:v>0.9</x:v>
      </x:c>
      <x:c r="D26" s="314" t="str">
        <x:v>%</x:v>
      </x:c>
      <x:c r="E26" s="314" t="str">
        <x:v>10% reserve/haircut for restrictions and cash classification</x:v>
      </x:c>
      <x:c r="F26" s="314"/>
      <x:c r="G26" s="314"/>
      <x:c r="H26" s="314"/>
      <x:c r="I26" s="314"/>
    </x:row>
    <x:row r="27" ht="20" customHeight="1">
      <x:c r="B27" t="str">
        <x:v>Century Pulp acquisition cash payment</x:v>
      </x:c>
      <x:c r="C27" s="336" t="n">
        <x:v>3498</x:v>
      </x:c>
      <x:c r="D27" s="314" t="str">
        <x:v>₹ crore</x:v>
      </x:c>
      <x:c r="E27" s="314" t="str">
        <x:v>Post-March 2026 pro-forma cash outflow; FY27 model adds asset and paper profit</x:v>
      </x:c>
      <x:c r="F27" s="314" t="str">
        <x:v>https://itcportal.com/media-centre/press-releases/itc-announces-strategic-acquisition-of-pulp---paper-undertaking-0.html</x:v>
      </x:c>
      <x:c r="G27" s="314"/>
      <x:c r="H27" s="314"/>
      <x:c r="I27" s="314"/>
    </x:row>
    <x:row r="28" ht="20" customHeight="1">
      <x:c r="B28" t="str">
        <x:v>FY27 remaining stub factor</x:v>
      </x:c>
      <x:c r="C28" s="333" t="n">
        <x:v>0.5</x:v>
      </x:c>
      <x:c r="D28" s="314" t="str">
        <x:v>x</x:v>
      </x:c>
      <x:c r="E28" s="314" t="str">
        <x:v>Approx 6 months FY27 unexpired at late-Sep valuation; FY26 cash balance not fully rolled to valuation date</x:v>
      </x:c>
      <x:c r="F28" s="314"/>
      <x:c r="G28" s="314"/>
      <x:c r="H28" s="314"/>
      <x:c r="I28" s="314"/>
    </x:row>
    <x:row r="29" ht="20" customHeight="1">
      <x:c r="B29" t="str">
        <x:v>Residual subsidiary profit P/E</x:v>
      </x:c>
      <x:c r="C29" s="335" t="n">
        <x:v>22</x:v>
      </x:c>
      <x:c r="D29" s="314" t="str">
        <x:v>x</x:v>
      </x:c>
      <x:c r="E29" s="314" t="str">
        <x:v>Model proxy for group-only profits, excludes Hotels associate; NOT exclusively ITC Infotech</x:v>
      </x:c>
      <x:c r="F29" s="314"/>
      <x:c r="G29" s="314"/>
      <x:c r="H29" s="314"/>
      <x:c r="I29" s="314"/>
    </x:row>
    <x:row r="30" ht="20" customHeight="1">
      <x:c r="B30" t="str">
        <x:v>Agri-business illustrative P/E</x:v>
      </x:c>
      <x:c r="C30" s="335" t="n">
        <x:v>13</x:v>
      </x:c>
      <x:c r="D30" s="314" t="str">
        <x:v>x</x:v>
      </x:c>
      <x:c r="E30" s="314" t="str">
        <x:v>Analyst estimate; no pure listed peer treated as directly comparable</x:v>
      </x:c>
      <x:c r="F30" s="314"/>
      <x:c r="G30" s="314"/>
      <x:c r="H30" s="314"/>
      <x:c r="I30" s="314"/>
    </x:row>
    <x:row r="31" ht="20" customHeight="1">
      <x:c r="B31" t="str">
        <x:v>Other business illustrative P/E</x:v>
      </x:c>
      <x:c r="C31" s="335" t="n">
        <x:v>10</x:v>
      </x:c>
      <x:c r="D31" s="314" t="str">
        <x:v>x</x:v>
      </x:c>
      <x:c r="E31" s="314" t="str">
        <x:v>Analyst discounted P/E on immaterial residual businesses</x:v>
      </x:c>
      <x:c r="F31" s="314"/>
      <x:c r="G31" s="314"/>
      <x:c r="H31" s="314"/>
      <x:c r="I31" s="314"/>
    </x:row>
    <x:row r="32" ht="20" customHeight="1">
      <x:c r="C32" s="314"/>
      <x:c r="D32" s="314"/>
      <x:c r="E32" s="314"/>
      <x:c r="F32" s="314"/>
      <x:c r="G32" s="314"/>
      <x:c r="H32" s="314"/>
      <x:c r="I32" s="314"/>
    </x:row>
    <x:row r="33" ht="24" customHeight="1">
      <x:c r="B33" s="323" t="str">
        <x:v>METHOD BLEND  •  INFORMATIONAL REFERENCE, NOT INVESTMENT RATING</x:v>
      </x:c>
      <x:c r="C33" s="326"/>
      <x:c r="D33" s="326"/>
      <x:c r="E33" s="326"/>
      <x:c r="F33" s="326"/>
      <x:c r="G33" s="326"/>
      <x:c r="H33" s="326"/>
      <x:c r="I33" s="326"/>
    </x:row>
    <x:row r="34" ht="20" customHeight="1">
      <x:c r="B34" t="str">
        <x:v>DCF weighting</x:v>
      </x:c>
      <x:c r="C34" s="333" t="n">
        <x:v>0.4</x:v>
      </x:c>
      <x:c r="D34" s="314"/>
      <x:c r="E34" s="314"/>
      <x:c r="F34" s="314"/>
      <x:c r="G34" s="314"/>
      <x:c r="H34" s="314"/>
      <x:c r="I34" s="314"/>
    </x:row>
    <x:row r="35" ht="20" customHeight="1">
      <x:c r="B35" t="str">
        <x:v>SOTP weighting</x:v>
      </x:c>
      <x:c r="C35" s="333" t="n">
        <x:v>0.45</x:v>
      </x:c>
      <x:c r="D35" s="314"/>
      <x:c r="E35" s="314"/>
      <x:c r="F35" s="314"/>
      <x:c r="G35" s="314"/>
      <x:c r="H35" s="314"/>
      <x:c r="I35" s="314"/>
    </x:row>
    <x:row r="36" ht="20" customHeight="1">
      <x:c r="B36" t="str">
        <x:v>Peer-relative weighting</x:v>
      </x:c>
      <x:c r="C36" s="333" t="n">
        <x:v>0.15</x:v>
      </x:c>
      <x:c r="D36" s="314"/>
      <x:c r="E36" s="314"/>
      <x:c r="F36" s="314"/>
      <x:c r="G36" s="314"/>
      <x:c r="H36" s="314"/>
      <x:c r="I36" s="314"/>
    </x:row>
    <x:row r="37" ht="24" customHeight="1">
      <x:c r="B37" s="344" t="str">
        <x:v>Weight check (100% = valid)</x:v>
      </x:c>
      <x:c r="C37" s="345" t="n">
        <x:f>SUM(C34:C36)</x:f>
        <x:v>1</x:v>
      </x:c>
      <x:c r="D37" s="346"/>
      <x:c r="E37" s="346"/>
      <x:c r="F37" s="346"/>
      <x:c r="G37" s="346"/>
      <x:c r="H37" s="346"/>
      <x:c r="I37" s="346"/>
    </x:row>
    <x:row r="38" ht="20" customHeight="1">
      <x:c r="C38" s="314"/>
      <x:c r="D38" s="314"/>
      <x:c r="E38" s="314"/>
      <x:c r="F38" s="314"/>
      <x:c r="G38" s="314"/>
      <x:c r="H38" s="314"/>
      <x:c r="I38" s="314"/>
    </x:row>
    <x:row r="39" ht="20" customHeight="1">
      <x:c r="B39" t="str">
        <x:v>Diluted forecast valuation share count</x:v>
      </x:c>
      <x:c r="C39" s="347" t="n">
        <x:f>Assumptions!E48</x:f>
        <x:v>1254</x:v>
      </x:c>
      <x:c r="D39" s="314"/>
      <x:c r="E39" s="314" t="str">
        <x:v>Future weighted-average diluted shares, FY27 analyst assumption</x:v>
      </x:c>
      <x:c r="F39" s="314"/>
      <x:c r="G39" s="314"/>
      <x:c r="H39" s="314"/>
      <x:c r="I39" s="314"/>
    </x:row>
    <x:row r="40" ht="20" customHeight="1">
      <x:c r="C40" s="314"/>
      <x:c r="D40" s="314"/>
      <x:c r="E40" s="314"/>
      <x:c r="F40" s="314"/>
      <x:c r="G40" s="314"/>
      <x:c r="H40" s="314"/>
      <x:c r="I40" s="314"/>
    </x:row>
    <x:row r="41" ht="40" customHeight="1">
      <x:c r="B41" s="352" t="str">
        <x:v>Snapshot discipline: prices and peer multiples are drawn from the 25 Sep 2026 completed market session; 10-year risk-free rate is 18 Sep observation. Assumptions are analyst inputs, not ITC guidance.</x:v>
      </x:c>
      <x:c r="C41" s="353"/>
      <x:c r="D41" s="353"/>
      <x:c r="E41" s="353"/>
      <x:c r="F41" s="353"/>
      <x:c r="G41" s="353"/>
      <x:c r="H41" s="353"/>
      <x:c r="I41" s="353"/>
    </x:row>
    <x:row r="42" ht="44" customHeight="1">
      <x:c r="B42" s="352" t="str">
        <x:v>CRITICAL: equity stake in Hotels is 39.85% as of Mar/Jun 2026. Do not add the FY26 standalone non-current investment portfolio or the hotel associate profit when the hotel market value is added separately.</x:v>
      </x:c>
      <x:c r="C42" s="353"/>
      <x:c r="D42" s="353"/>
      <x:c r="E42" s="353"/>
      <x:c r="F42" s="353"/>
      <x:c r="G42" s="353"/>
      <x:c r="H42" s="353"/>
      <x:c r="I42" s="353"/>
    </x:row>
    <x:row r="43" ht="20" customHeight="1">
      <x:c r="C43" s="314"/>
      <x:c r="D43" s="314"/>
      <x:c r="E43" s="314"/>
      <x:c r="F43" s="314"/>
      <x:c r="G43" s="314"/>
      <x:c r="H43" s="314"/>
      <x:c r="I43" s="314"/>
    </x:row>
    <x:row r="44" ht="20" customHeight="1">
      <x:c r="C44" s="314"/>
      <x:c r="D44" s="314"/>
      <x:c r="E44" s="314"/>
      <x:c r="F44" s="314"/>
      <x:c r="G44" s="314"/>
      <x:c r="H44" s="314"/>
      <x:c r="I44" s="314"/>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14:I14"/>
    <x:mergeCell ref="B23:I23"/>
    <x:mergeCell ref="B33:I33"/>
    <x:mergeCell ref="B41:I41"/>
    <x:mergeCell ref="B42:I4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 hidden="0" customWidth="1"/>
    <x:col min="2" max="2" width="44" hidden="0" customWidth="1"/>
    <x:col min="3" max="3" width="17" hidden="0" customWidth="1"/>
    <x:col min="4" max="4" width="18" hidden="0" customWidth="1"/>
    <x:col min="5" max="5" width="64" hidden="0" customWidth="1"/>
    <x:col min="6" max="6" width="17" hidden="0" customWidth="1"/>
    <x:col min="7" max="7" width="17" hidden="0" customWidth="1"/>
    <x:col min="8" max="8" width="17" hidden="0" customWidth="1"/>
    <x:col min="9" max="9" width="17" hidden="0" customWidth="1"/>
  </x:cols>
  <x:sheetData>
    <x:row r="2" ht="35" customHeight="1">
      <x:c r="B2" s="317" t="str">
        <x:v>DISCOUNT RATE  |  WACC</x:v>
      </x:c>
      <x:c r="C2" s="317"/>
      <x:c r="D2" s="317"/>
      <x:c r="E2" s="317"/>
      <x:c r="F2" s="317"/>
      <x:c r="G2" s="317"/>
      <x:c r="H2" s="317"/>
      <x:c r="I2" s="317"/>
    </x:row>
    <x:row r="3" ht="26" customHeight="1">
      <x:c r="B3" s="319" t="str">
        <x:v>Forward-looking normalized WACC inputs; not a claim that market-observed stock beta equals model beta.</x:v>
      </x:c>
      <x:c r="C3" s="319"/>
      <x:c r="D3" s="319"/>
      <x:c r="E3" s="319"/>
      <x:c r="F3" s="319"/>
      <x:c r="G3" s="319"/>
      <x:c r="H3" s="319"/>
      <x:c r="I3" s="319"/>
    </x:row>
    <x:row r="4" ht="24" customHeight="1">
      <x:c r="B4" s="323" t="str">
        <x:v>METRIC</x:v>
      </x:c>
      <x:c r="C4" s="322" t="str">
        <x:v>CALCULATION</x:v>
      </x:c>
      <x:c r="D4" s="322" t="str">
        <x:v>UNIT</x:v>
      </x:c>
      <x:c r="E4" s="322" t="str">
        <x:v>EXPLANATION</x:v>
      </x:c>
      <x:c r="F4" s="322" t="str"/>
      <x:c r="G4" s="322" t="str"/>
      <x:c r="H4" s="322" t="str"/>
      <x:c r="I4" s="322" t="str"/>
    </x:row>
    <x:row r="5" ht="20" customHeight="1">
      <x:c r="C5" s="314"/>
      <x:c r="D5" s="314"/>
      <x:c r="E5" s="314"/>
      <x:c r="F5" s="314"/>
      <x:c r="G5" s="314"/>
      <x:c r="H5" s="314"/>
      <x:c r="I5" s="314"/>
    </x:row>
    <x:row r="6" ht="24" customHeight="1">
      <x:c r="B6" s="323" t="str">
        <x:v>COST OF EQUITY  •  CAPM</x:v>
      </x:c>
      <x:c r="C6" s="326"/>
      <x:c r="D6" s="326"/>
      <x:c r="E6" s="326"/>
      <x:c r="F6" s="326"/>
      <x:c r="G6" s="326"/>
      <x:c r="H6" s="326"/>
      <x:c r="I6" s="326"/>
    </x:row>
    <x:row r="7" ht="20" customHeight="1">
      <x:c r="B7" t="str">
        <x:v>India 10-year risk-free</x:v>
      </x:c>
      <x:c r="C7" s="354" t="n">
        <x:f>Valuation_Inputs!C12</x:f>
        <x:v>0.070686</x:v>
      </x:c>
      <x:c r="D7" s="314"/>
      <x:c r="E7" s="314" t="str">
        <x:v>18 Sep 2026 benchmark close (Reuters 21 Sep)</x:v>
      </x:c>
      <x:c r="F7" s="314"/>
      <x:c r="G7" s="314"/>
      <x:c r="H7" s="314"/>
      <x:c r="I7" s="314"/>
    </x:row>
    <x:row r="8" ht="20" customHeight="1">
      <x:c r="B8" t="str">
        <x:v>Analyst equity risk premium</x:v>
      </x:c>
      <x:c r="C8" s="354" t="n">
        <x:f>Valuation_Inputs!C15</x:f>
        <x:v>0.06</x:v>
      </x:c>
      <x:c r="D8" s="314"/>
      <x:c r="E8" s="314" t="str">
        <x:v>India listed business normalized premium</x:v>
      </x:c>
      <x:c r="F8" s="314"/>
      <x:c r="G8" s="314"/>
      <x:c r="H8" s="314"/>
      <x:c r="I8" s="314"/>
    </x:row>
    <x:row r="9" ht="20" customHeight="1">
      <x:c r="B9" t="str">
        <x:v>Normalized beta</x:v>
      </x:c>
      <x:c r="C9" s="355" t="n">
        <x:f>Valuation_Inputs!C16</x:f>
        <x:v>0.85</x:v>
      </x:c>
      <x:c r="D9" s="314"/>
      <x:c r="E9" s="314" t="str">
        <x:v>Override of short-window market beta</x:v>
      </x:c>
      <x:c r="F9" s="314"/>
      <x:c r="G9" s="314"/>
      <x:c r="H9" s="314"/>
      <x:c r="I9" s="314"/>
    </x:row>
    <x:row r="10" ht="20" customHeight="1">
      <x:c r="B10" t="str">
        <x:v>Other premium</x:v>
      </x:c>
      <x:c r="C10" s="354" t="n">
        <x:f>Valuation_Inputs!C17</x:f>
        <x:v>0</x:v>
      </x:c>
      <x:c r="D10" s="314"/>
      <x:c r="E10" s="314" t="str">
        <x:v>Optional additive cost-of-equity premium</x:v>
      </x:c>
      <x:c r="F10" s="314"/>
      <x:c r="G10" s="314"/>
      <x:c r="H10" s="314"/>
      <x:c r="I10" s="314"/>
    </x:row>
    <x:row r="11" ht="24" customHeight="1">
      <x:c r="B11" s="363" t="str">
        <x:v>COST OF EQUITY</x:v>
      </x:c>
      <x:c r="C11" s="364" t="n">
        <x:f>SUM(C7,C8*C9,C10)</x:f>
        <x:v>0.12168599999999999</x:v>
      </x:c>
      <x:c r="D11" s="365"/>
      <x:c r="E11" s="365" t="str">
        <x:v>Risk free + beta × ERP + premium</x:v>
      </x:c>
      <x:c r="F11" s="365"/>
      <x:c r="G11" s="365"/>
      <x:c r="H11" s="365"/>
      <x:c r="I11" s="365"/>
    </x:row>
    <x:row r="12" ht="24" customHeight="1">
      <x:c r="B12" s="323" t="str">
        <x:v>DEBT COST / LONG-RUN FINANCING</x:v>
      </x:c>
      <x:c r="C12" s="326"/>
      <x:c r="D12" s="326"/>
      <x:c r="E12" s="326"/>
      <x:c r="F12" s="326"/>
      <x:c r="G12" s="326"/>
      <x:c r="H12" s="326"/>
      <x:c r="I12" s="326"/>
    </x:row>
    <x:row r="13" ht="20" customHeight="1">
      <x:c r="B13" t="str">
        <x:v>Pretax marginal debt cost</x:v>
      </x:c>
      <x:c r="C13" s="354" t="n">
        <x:f>Valuation_Inputs!C18</x:f>
        <x:v>0.085</x:v>
      </x:c>
      <x:c r="D13" s="314"/>
      <x:c r="E13" s="314" t="str">
        <x:v>Editable debt rate</x:v>
      </x:c>
      <x:c r="F13" s="314"/>
      <x:c r="G13" s="314"/>
      <x:c r="H13" s="314"/>
      <x:c r="I13" s="314"/>
    </x:row>
    <x:row r="14" ht="20" customHeight="1">
      <x:c r="B14" t="str">
        <x:v>Cash tax rate</x:v>
      </x:c>
      <x:c r="C14" s="354" t="n">
        <x:f>Valuation_Inputs!C19</x:f>
        <x:v>0.252</x:v>
      </x:c>
      <x:c r="D14" s="314"/>
      <x:c r="E14" s="314" t="str">
        <x:v>Editable tax rate</x:v>
      </x:c>
      <x:c r="F14" s="314"/>
      <x:c r="G14" s="314"/>
      <x:c r="H14" s="314"/>
      <x:c r="I14" s="314"/>
    </x:row>
    <x:row r="15" ht="24" customHeight="1">
      <x:c r="B15" s="344" t="str">
        <x:v>After-tax cost of debt</x:v>
      </x:c>
      <x:c r="C15" s="345" t="n">
        <x:f>C13*(1-C14)</x:f>
        <x:v>0.06358</x:v>
      </x:c>
      <x:c r="D15" s="346"/>
      <x:c r="E15" s="346" t="str">
        <x:v>Marginal debt cost net of assumed tax shield</x:v>
      </x:c>
      <x:c r="F15" s="346"/>
      <x:c r="G15" s="346"/>
      <x:c r="H15" s="346"/>
      <x:c r="I15" s="346"/>
    </x:row>
    <x:row r="16" ht="24" customHeight="1">
      <x:c r="B16" s="323" t="str">
        <x:v>WEIGHTED AVERAGE COST</x:v>
      </x:c>
      <x:c r="C16" s="326"/>
      <x:c r="D16" s="326"/>
      <x:c r="E16" s="326"/>
      <x:c r="F16" s="326"/>
      <x:c r="G16" s="326"/>
      <x:c r="H16" s="326"/>
      <x:c r="I16" s="326"/>
    </x:row>
    <x:row r="17" ht="20" customHeight="1">
      <x:c r="B17" t="str">
        <x:v>Equity weight</x:v>
      </x:c>
      <x:c r="C17" s="354" t="n">
        <x:f>Valuation_Inputs!C20</x:f>
        <x:v>0.985</x:v>
      </x:c>
      <x:c r="D17" s="314"/>
      <x:c r="E17" s="314" t="str">
        <x:v>Target long-run funding mix</x:v>
      </x:c>
      <x:c r="F17" s="314"/>
      <x:c r="G17" s="314"/>
      <x:c r="H17" s="314"/>
      <x:c r="I17" s="314"/>
    </x:row>
    <x:row r="18" ht="20" customHeight="1">
      <x:c r="B18" t="str">
        <x:v>Debt weight</x:v>
      </x:c>
      <x:c r="C18" s="338" t="n">
        <x:f>1-C17</x:f>
        <x:v>0.015000000000000013</x:v>
      </x:c>
      <x:c r="D18" s="314"/>
      <x:c r="E18" s="314" t="str">
        <x:v>100% less equity weight</x:v>
      </x:c>
      <x:c r="F18" s="314"/>
      <x:c r="G18" s="314"/>
      <x:c r="H18" s="314"/>
      <x:c r="I18" s="314"/>
    </x:row>
    <x:row r="19" ht="20" customHeight="1">
      <x:c r="C19" s="314"/>
      <x:c r="D19" s="314"/>
      <x:c r="E19" s="314"/>
      <x:c r="F19" s="314"/>
      <x:c r="G19" s="314"/>
      <x:c r="H19" s="314"/>
      <x:c r="I19" s="314"/>
    </x:row>
    <x:row r="20" ht="24" customHeight="1">
      <x:c r="B20" s="363" t="str">
        <x:v>WEIGHTED AVERAGE COST OF CAPITAL</x:v>
      </x:c>
      <x:c r="C20" s="364" t="n">
        <x:f>C11*C17+C15*C18</x:f>
        <x:v>0.12081440999999998</x:v>
      </x:c>
      <x:c r="D20" s="365"/>
      <x:c r="E20" s="365" t="str">
        <x:v>Risk-adjusted discount rate for standalone operating FCFF</x:v>
      </x:c>
      <x:c r="F20" s="365"/>
      <x:c r="G20" s="365"/>
      <x:c r="H20" s="365"/>
      <x:c r="I20" s="365"/>
    </x:row>
    <x:row r="21" ht="20" customHeight="1">
      <x:c r="B21" t="str">
        <x:v>Long-run terminal growth</x:v>
      </x:c>
      <x:c r="C21" s="354" t="n">
        <x:f>Valuation_Inputs!C21</x:f>
        <x:v>0.04</x:v>
      </x:c>
      <x:c r="D21" s="314"/>
      <x:c r="E21" s="314" t="str">
        <x:v>Nominal India long-run cashflow growth</x:v>
      </x:c>
      <x:c r="F21" s="314"/>
      <x:c r="G21" s="314"/>
      <x:c r="H21" s="314"/>
      <x:c r="I21" s="314"/>
    </x:row>
    <x:row r="22" ht="24" customHeight="1">
      <x:c r="B22" s="344" t="str">
        <x:v>WACC less terminal growth</x:v>
      </x:c>
      <x:c r="C22" s="345" t="n">
        <x:f>C20-C21</x:f>
        <x:v>0.08081440999999998</x:v>
      </x:c>
      <x:c r="D22" s="346"/>
      <x:c r="E22" s="346" t="str">
        <x:v>Must be positive for perpetuity</x:v>
      </x:c>
      <x:c r="F22" s="346"/>
      <x:c r="G22" s="346"/>
      <x:c r="H22" s="346"/>
      <x:c r="I22" s="346"/>
    </x:row>
    <x:row r="23" ht="20" customHeight="1">
      <x:c r="B23" t="str">
        <x:v>Terminal growth feasibility (1=pass)</x:v>
      </x:c>
      <x:c r="C23" s="356" t="n">
        <x:f>IF(C22&gt;0,1,0)</x:f>
        <x:v>1</x:v>
      </x:c>
      <x:c r="D23" s="314"/>
      <x:c r="E23" s="314" t="str">
        <x:v>Sanity gate</x:v>
      </x:c>
      <x:c r="F23" s="314"/>
      <x:c r="G23" s="314"/>
      <x:c r="H23" s="314"/>
      <x:c r="I23" s="314"/>
    </x:row>
    <x:row r="24" ht="20" customHeight="1">
      <x:c r="C24" s="314"/>
      <x:c r="D24" s="314"/>
      <x:c r="E24" s="314"/>
      <x:c r="F24" s="314"/>
      <x:c r="G24" s="314"/>
      <x:c r="H24" s="314"/>
      <x:c r="I24" s="314"/>
    </x:row>
    <x:row r="25" ht="20" customHeight="1">
      <x:c r="C25" s="314"/>
      <x:c r="D25" s="314"/>
      <x:c r="E25" s="314"/>
      <x:c r="F25" s="314"/>
      <x:c r="G25" s="314"/>
      <x:c r="H25" s="314"/>
      <x:c r="I25" s="314"/>
    </x:row>
    <x:row r="26" ht="38" customHeight="1">
      <x:c r="B26" s="352" t="str">
        <x:v>A short-term negative trading beta from market snapshots is not applied mechanically. Beta, ERP, capital mix and terminal growth remain judgemental, editable, and stress-tested across Sensitivities.</x:v>
      </x:c>
      <x:c r="C26" s="353"/>
      <x:c r="D26" s="353"/>
      <x:c r="E26" s="353"/>
      <x:c r="F26" s="353"/>
      <x:c r="G26" s="353"/>
      <x:c r="H26" s="353"/>
      <x:c r="I26" s="353"/>
    </x:row>
    <x:row r="27" ht="20" customHeight="1">
      <x:c r="C27" s="314"/>
      <x:c r="D27" s="314"/>
      <x:c r="E27" s="314"/>
      <x:c r="F27" s="314"/>
      <x:c r="G27" s="314"/>
      <x:c r="H27" s="314"/>
      <x:c r="I27" s="314"/>
    </x:row>
    <x:row r="28" ht="20" customHeight="1">
      <x:c r="C28" s="314"/>
      <x:c r="D28" s="314"/>
      <x:c r="E28" s="314"/>
      <x:c r="F28" s="314"/>
      <x:c r="G28" s="314"/>
      <x:c r="H28" s="314"/>
      <x:c r="I28" s="314"/>
    </x:row>
    <x:row r="29" ht="20" customHeight="1">
      <x:c r="C29" s="314"/>
      <x:c r="D29" s="314"/>
      <x:c r="E29" s="314"/>
      <x:c r="F29" s="314"/>
      <x:c r="G29" s="314"/>
      <x:c r="H29" s="314"/>
      <x:c r="I29" s="314"/>
    </x:row>
    <x:row r="30" ht="20" customHeight="1">
      <x:c r="C30" s="314"/>
      <x:c r="D30" s="314"/>
      <x:c r="E30" s="314"/>
      <x:c r="F30" s="314"/>
      <x:c r="G30" s="314"/>
      <x:c r="H30" s="314"/>
      <x:c r="I30" s="314"/>
    </x:row>
    <x:row r="31" ht="20" customHeight="1">
      <x:c r="C31" s="314"/>
      <x:c r="D31" s="314"/>
      <x:c r="E31" s="314"/>
      <x:c r="F31" s="314"/>
      <x:c r="G31" s="314"/>
      <x:c r="H31" s="314"/>
      <x:c r="I31" s="314"/>
    </x:row>
    <x:row r="32" ht="20" customHeight="1">
      <x:c r="C32" s="314"/>
      <x:c r="D32" s="314"/>
      <x:c r="E32" s="314"/>
      <x:c r="F32" s="314"/>
      <x:c r="G32" s="314"/>
      <x:c r="H32" s="314"/>
      <x:c r="I32" s="314"/>
    </x:row>
    <x:row r="33" ht="20" customHeight="1">
      <x:c r="C33" s="314"/>
      <x:c r="D33" s="314"/>
      <x:c r="E33" s="314"/>
      <x:c r="F33" s="314"/>
      <x:c r="G33" s="314"/>
      <x:c r="H33" s="314"/>
      <x:c r="I33" s="314"/>
    </x:row>
    <x:row r="34" ht="20" customHeight="1">
      <x:c r="C34" s="314"/>
      <x:c r="D34" s="314"/>
      <x:c r="E34" s="314"/>
      <x:c r="F34" s="314"/>
      <x:c r="G34" s="314"/>
      <x:c r="H34" s="314"/>
      <x:c r="I34" s="314"/>
    </x:row>
    <x:row r="35" ht="20" customHeight="1">
      <x:c r="C35" s="314"/>
      <x:c r="D35" s="314"/>
      <x:c r="E35" s="314"/>
      <x:c r="F35" s="314"/>
      <x:c r="G35" s="314"/>
      <x:c r="H35" s="314"/>
      <x:c r="I35" s="314"/>
    </x:row>
    <x:row r="36" ht="20" customHeight="1">
      <x:c r="C36" s="314"/>
      <x:c r="D36" s="314"/>
      <x:c r="E36" s="314"/>
      <x:c r="F36" s="314"/>
      <x:c r="G36" s="314"/>
      <x:c r="H36" s="314"/>
      <x:c r="I36" s="314"/>
    </x:row>
    <x:row r="37" ht="20" customHeight="1">
      <x:c r="C37" s="314"/>
      <x:c r="D37" s="314"/>
      <x:c r="E37" s="314"/>
      <x:c r="F37" s="314"/>
      <x:c r="G37" s="314"/>
      <x:c r="H37" s="314"/>
      <x:c r="I37" s="314"/>
    </x:row>
    <x:row r="38" ht="20" customHeight="1">
      <x:c r="C38" s="314"/>
      <x:c r="D38" s="314"/>
      <x:c r="E38" s="314"/>
      <x:c r="F38" s="314"/>
      <x:c r="G38" s="314"/>
      <x:c r="H38" s="314"/>
      <x:c r="I38" s="314"/>
    </x:row>
    <x:row r="39" ht="20" customHeight="1">
      <x:c r="C39" s="314"/>
      <x:c r="D39" s="314"/>
      <x:c r="E39" s="314"/>
      <x:c r="F39" s="314"/>
      <x:c r="G39" s="314"/>
      <x:c r="H39" s="314"/>
      <x:c r="I39" s="314"/>
    </x:row>
    <x:row r="40" ht="20" customHeight="1">
      <x:c r="C40" s="314"/>
      <x:c r="D40" s="314"/>
      <x:c r="E40" s="314"/>
      <x:c r="F40" s="314"/>
      <x:c r="G40" s="314"/>
      <x:c r="H40" s="314"/>
      <x:c r="I40" s="314"/>
    </x:row>
    <x:row r="41" ht="20" customHeight="1">
      <x:c r="C41" s="314"/>
      <x:c r="D41" s="314"/>
      <x:c r="E41" s="314"/>
      <x:c r="F41" s="314"/>
      <x:c r="G41" s="314"/>
      <x:c r="H41" s="314"/>
      <x:c r="I41" s="314"/>
    </x:row>
    <x:row r="42" ht="20" customHeight="1">
      <x:c r="C42" s="314"/>
      <x:c r="D42" s="314"/>
      <x:c r="E42" s="314"/>
      <x:c r="F42" s="314"/>
      <x:c r="G42" s="314"/>
      <x:c r="H42" s="314"/>
      <x:c r="I42" s="314"/>
    </x:row>
    <x:row r="43" ht="20" customHeight="1">
      <x:c r="C43" s="314"/>
      <x:c r="D43" s="314"/>
      <x:c r="E43" s="314"/>
      <x:c r="F43" s="314"/>
      <x:c r="G43" s="314"/>
      <x:c r="H43" s="314"/>
      <x:c r="I43" s="314"/>
    </x:row>
    <x:row r="44" ht="20" customHeight="1">
      <x:c r="C44" s="314"/>
      <x:c r="D44" s="314"/>
      <x:c r="E44" s="314"/>
      <x:c r="F44" s="314"/>
      <x:c r="G44" s="314"/>
      <x:c r="H44" s="314"/>
      <x:c r="I44" s="314"/>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12:I12"/>
    <x:mergeCell ref="B16:I16"/>
    <x:mergeCell ref="B26:I26"/>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3" hidden="0" customWidth="1"/>
    <x:col min="2" max="2" width="33" hidden="0" customWidth="1"/>
    <x:col min="3" max="3" width="21" hidden="0" customWidth="1"/>
    <x:col min="4" max="4" width="19" hidden="0" customWidth="1"/>
    <x:col min="5" max="5" width="18" hidden="0" customWidth="1"/>
    <x:col min="6" max="6" width="18" hidden="0" customWidth="1"/>
    <x:col min="7" max="7" width="20" hidden="0" customWidth="1"/>
    <x:col min="8" max="8" width="81" hidden="0" customWidth="1"/>
    <x:col min="9" max="9" width="17" hidden="0" customWidth="1"/>
  </x:cols>
  <x:sheetData>
    <x:row r="2" ht="35" customHeight="1">
      <x:c r="B2" s="317" t="str">
        <x:v>COMPARABLE PUBLIC COMPANIES</x:v>
      </x:c>
      <x:c r="C2" s="317"/>
      <x:c r="D2" s="317"/>
      <x:c r="E2" s="317"/>
      <x:c r="F2" s="317"/>
      <x:c r="G2" s="317"/>
      <x:c r="H2" s="317"/>
      <x:c r="I2" s="317"/>
    </x:row>
    <x:row r="3" ht="26" customHeight="1">
      <x:c r="B3" s="319" t="str">
        <x:v>25 September 2026 observed trailing multiples. Each is an imperfect comparator: tobacco, FMCG, paper and IT have different risks.</x:v>
      </x:c>
      <x:c r="C3" s="319"/>
      <x:c r="D3" s="319"/>
      <x:c r="E3" s="319"/>
      <x:c r="F3" s="319"/>
      <x:c r="G3" s="319"/>
      <x:c r="H3" s="319"/>
      <x:c r="I3" s="319"/>
    </x:row>
    <x:row r="4" ht="24" customHeight="1">
      <x:c r="B4" s="323" t="str">
        <x:v>COMPANY</x:v>
      </x:c>
      <x:c r="C4" s="322" t="str">
        <x:v>BUCKET</x:v>
      </x:c>
      <x:c r="D4" s="322" t="str">
        <x:v>NSE TICKER</x:v>
      </x:c>
      <x:c r="E4" s="322" t="str">
        <x:v>TTM P/E</x:v>
      </x:c>
      <x:c r="F4" s="322" t="str">
        <x:v>EV / EBITDA</x:v>
      </x:c>
      <x:c r="G4" s="322" t="str">
        <x:v>DATE</x:v>
      </x:c>
      <x:c r="H4" s="322" t="str">
        <x:v>SOURCE URL</x:v>
      </x:c>
      <x:c r="I4" s="322" t="str"/>
    </x:row>
    <x:row r="5" ht="20" customHeight="1">
      <x:c r="C5" s="314"/>
      <x:c r="D5" s="314"/>
      <x:c r="E5" s="314"/>
      <x:c r="F5" s="314"/>
      <x:c r="G5" s="314"/>
      <x:c r="H5" s="314"/>
      <x:c r="I5" s="314"/>
    </x:row>
    <x:row r="6" ht="24" customHeight="1">
      <x:c r="B6" s="323" t="str">
        <x:v>MARKET SNAPSHOT  •  P/E IS TRAILING, NOT FWD FY27 MULTIPLE</x:v>
      </x:c>
      <x:c r="C6" s="326"/>
      <x:c r="D6" s="326"/>
      <x:c r="E6" s="326"/>
      <x:c r="F6" s="326"/>
      <x:c r="G6" s="326"/>
      <x:c r="H6" s="326"/>
      <x:c r="I6" s="326"/>
    </x:row>
    <x:row r="7" ht="31" customHeight="1">
      <x:c r="B7" t="str">
        <x:v>Godfrey Phillips India</x:v>
      </x:c>
      <x:c r="C7" s="314" t="str">
        <x:v>Cigarettes</x:v>
      </x:c>
      <x:c r="D7" s="314" t="str">
        <x:v>GODFRYPHLP</x:v>
      </x:c>
      <x:c r="E7" s="334" t="n">
        <x:v>22.43</x:v>
      </x:c>
      <x:c r="F7" s="314"/>
      <x:c r="G7" s="314" t="str">
        <x:v>2026-09-25</x:v>
      </x:c>
      <x:c r="H7" s="366" t="str">
        <x:v>https://stockanalysis.com/quote/nse/GODFRYPHLP/statistics/</x:v>
      </x:c>
      <x:c r="I7" s="314"/>
    </x:row>
    <x:row r="8" ht="31" customHeight="1">
      <x:c r="B8" t="str">
        <x:v>VST Industries</x:v>
      </x:c>
      <x:c r="C8" s="314" t="str">
        <x:v>Cigarettes</x:v>
      </x:c>
      <x:c r="D8" s="314" t="str">
        <x:v>VSTIND</x:v>
      </x:c>
      <x:c r="E8" s="334" t="n">
        <x:v>12.5</x:v>
      </x:c>
      <x:c r="F8" s="334" t="n">
        <x:v>6.63</x:v>
      </x:c>
      <x:c r="G8" s="314" t="str">
        <x:v>2026-09-25</x:v>
      </x:c>
      <x:c r="H8" s="366" t="str">
        <x:v>https://stockanalysis.com/quote/nse/VSTIND/statistics/</x:v>
      </x:c>
      <x:c r="I8" s="314"/>
    </x:row>
    <x:row r="9" ht="31" customHeight="1">
      <x:c r="B9" t="str">
        <x:v>Hindustan Unilever</x:v>
      </x:c>
      <x:c r="C9" s="314" t="str">
        <x:v>FMCG</x:v>
      </x:c>
      <x:c r="D9" s="314" t="str">
        <x:v>HINDUNILVR</x:v>
      </x:c>
      <x:c r="E9" s="334" t="n">
        <x:v>50.84</x:v>
      </x:c>
      <x:c r="F9" s="314"/>
      <x:c r="G9" s="314" t="str">
        <x:v>2026-09-25</x:v>
      </x:c>
      <x:c r="H9" s="366" t="str">
        <x:v>https://stockanalysis.com/quote/nse/HINDUNILVR/statistics/</x:v>
      </x:c>
      <x:c r="I9" s="314"/>
    </x:row>
    <x:row r="10" ht="31" customHeight="1">
      <x:c r="B10" t="str">
        <x:v>Britannia Industries</x:v>
      </x:c>
      <x:c r="C10" s="314" t="str">
        <x:v>FMCG</x:v>
      </x:c>
      <x:c r="D10" s="314" t="str">
        <x:v>BRITANNIA</x:v>
      </x:c>
      <x:c r="E10" s="334" t="n">
        <x:v>45.67</x:v>
      </x:c>
      <x:c r="F10" s="314"/>
      <x:c r="G10" s="314" t="str">
        <x:v>2026-09-25</x:v>
      </x:c>
      <x:c r="H10" s="366" t="str">
        <x:v>https://stockanalysis.com/quote/nse/BRITANNIA/statistics/</x:v>
      </x:c>
      <x:c r="I10" s="314"/>
    </x:row>
    <x:row r="11" ht="31" customHeight="1">
      <x:c r="B11" t="str">
        <x:v>Dabur India</x:v>
      </x:c>
      <x:c r="C11" s="314" t="str">
        <x:v>FMCG</x:v>
      </x:c>
      <x:c r="D11" s="314" t="str">
        <x:v>DABUR</x:v>
      </x:c>
      <x:c r="E11" s="334" t="n">
        <x:v>34.7</x:v>
      </x:c>
      <x:c r="F11" s="314"/>
      <x:c r="G11" s="314" t="str">
        <x:v>2026-09-25</x:v>
      </x:c>
      <x:c r="H11" s="366" t="str">
        <x:v>https://stockanalysis.com/quote/nse/DABUR/statistics/</x:v>
      </x:c>
      <x:c r="I11" s="314"/>
    </x:row>
    <x:row r="12" ht="31" customHeight="1">
      <x:c r="B12" t="str">
        <x:v>JK Paper</x:v>
      </x:c>
      <x:c r="C12" s="314" t="str">
        <x:v>Paper</x:v>
      </x:c>
      <x:c r="D12" s="314" t="str">
        <x:v>JKPAPER</x:v>
      </x:c>
      <x:c r="E12" s="334" t="n">
        <x:v>23.35</x:v>
      </x:c>
      <x:c r="F12" s="334" t="n">
        <x:v>9.79</x:v>
      </x:c>
      <x:c r="G12" s="314" t="str">
        <x:v>2026-09-25</x:v>
      </x:c>
      <x:c r="H12" s="366" t="str">
        <x:v>https://stockanalysis.com/quote/nse/JKPAPER/statistics/</x:v>
      </x:c>
      <x:c r="I12" s="314"/>
    </x:row>
    <x:row r="13" ht="31" customHeight="1">
      <x:c r="B13" t="str">
        <x:v>Happiest Minds</x:v>
      </x:c>
      <x:c r="C13" s="314" t="str">
        <x:v>IT Services</x:v>
      </x:c>
      <x:c r="D13" s="314" t="str">
        <x:v>HAPPSTMNDS</x:v>
      </x:c>
      <x:c r="E13" s="334" t="n">
        <x:v>20.98</x:v>
      </x:c>
      <x:c r="F13" s="314"/>
      <x:c r="G13" s="314" t="str">
        <x:v>2026-09-25</x:v>
      </x:c>
      <x:c r="H13" s="366" t="str">
        <x:v>https://stockanalysis.com/quote/nse/HAPPSTMNDS/statistics/</x:v>
      </x:c>
      <x:c r="I13" s="314"/>
    </x:row>
    <x:row r="14" ht="31" customHeight="1">
      <x:c r="B14" t="str">
        <x:v>Coforge</x:v>
      </x:c>
      <x:c r="C14" s="314" t="str">
        <x:v>IT Services</x:v>
      </x:c>
      <x:c r="D14" s="314" t="str">
        <x:v>COFORGE</x:v>
      </x:c>
      <x:c r="E14" s="334" t="n">
        <x:v>36.55</x:v>
      </x:c>
      <x:c r="F14" s="334" t="n">
        <x:v>21.9</x:v>
      </x:c>
      <x:c r="G14" s="314" t="str">
        <x:v>2026-09-25</x:v>
      </x:c>
      <x:c r="H14" s="366" t="str">
        <x:v>https://stockanalysis.com/quote/nse/COFORGE/statistics/</x:v>
      </x:c>
      <x:c r="I14" s="314"/>
    </x:row>
    <x:row r="15" ht="20" customHeight="1">
      <x:c r="C15" s="314"/>
      <x:c r="D15" s="314"/>
      <x:c r="E15" s="314"/>
      <x:c r="F15" s="314"/>
      <x:c r="G15" s="314"/>
      <x:c r="H15" s="314"/>
      <x:c r="I15" s="314"/>
    </x:row>
    <x:row r="16" ht="24" customHeight="1">
      <x:c r="B16" s="323" t="str">
        <x:v>SECTOR / BUCKET MEDIANS  •  FACTUAL PEER STATS</x:v>
      </x:c>
      <x:c r="C16" s="326"/>
      <x:c r="D16" s="326"/>
      <x:c r="E16" s="326"/>
      <x:c r="F16" s="326"/>
      <x:c r="G16" s="326"/>
      <x:c r="H16" s="326"/>
      <x:c r="I16" s="326"/>
    </x:row>
    <x:row r="17" ht="24" customHeight="1">
      <x:c r="B17" s="344" t="str">
        <x:v>Cigarettes mean TTM P/E</x:v>
      </x:c>
      <x:c r="C17" s="346"/>
      <x:c r="D17" s="346"/>
      <x:c r="E17" s="370" t="n">
        <x:f>AVERAGE(E7:E8)</x:f>
        <x:v>17.465</x:v>
      </x:c>
      <x:c r="F17" s="346"/>
      <x:c r="G17" s="346"/>
      <x:c r="H17" s="346"/>
      <x:c r="I17" s="346"/>
    </x:row>
    <x:row r="18" ht="24" customHeight="1">
      <x:c r="B18" s="344" t="str">
        <x:v>Consumer FMCG mean TTM P/E</x:v>
      </x:c>
      <x:c r="C18" s="346"/>
      <x:c r="D18" s="346"/>
      <x:c r="E18" s="370" t="n">
        <x:f>AVERAGE(E9:E11)</x:f>
        <x:v>43.73666666666667</x:v>
      </x:c>
      <x:c r="F18" s="346"/>
      <x:c r="G18" s="346"/>
      <x:c r="H18" s="346"/>
      <x:c r="I18" s="346"/>
    </x:row>
    <x:row r="19" ht="24" customHeight="1">
      <x:c r="B19" s="344" t="str">
        <x:v>Paper TTM P/E</x:v>
      </x:c>
      <x:c r="C19" s="346"/>
      <x:c r="D19" s="346"/>
      <x:c r="E19" s="370" t="n">
        <x:f>E12</x:f>
        <x:v>23.35</x:v>
      </x:c>
      <x:c r="F19" s="346"/>
      <x:c r="G19" s="346"/>
      <x:c r="H19" s="346"/>
      <x:c r="I19" s="346"/>
    </x:row>
    <x:row r="20" ht="24" customHeight="1">
      <x:c r="B20" s="344" t="str">
        <x:v>IT Services mean TTM P/E</x:v>
      </x:c>
      <x:c r="C20" s="346"/>
      <x:c r="D20" s="346"/>
      <x:c r="E20" s="370" t="n">
        <x:f>AVERAGE(E13:E14)</x:f>
        <x:v>28.765</x:v>
      </x:c>
      <x:c r="F20" s="346"/>
      <x:c r="G20" s="346"/>
      <x:c r="H20" s="346"/>
      <x:c r="I20" s="346"/>
    </x:row>
    <x:row r="21" ht="20" customHeight="1">
      <x:c r="B21" t="str">
        <x:v>Agri applied P/E • analyst</x:v>
      </x:c>
      <x:c r="C21" s="314"/>
      <x:c r="D21" s="314"/>
      <x:c r="E21" s="355" t="n">
        <x:f>Valuation_Inputs!C30</x:f>
        <x:v>13</x:v>
      </x:c>
      <x:c r="F21" s="314"/>
      <x:c r="G21" s="314"/>
      <x:c r="H21" s="314"/>
      <x:c r="I21" s="314"/>
    </x:row>
    <x:row r="22" ht="20" customHeight="1">
      <x:c r="B22" t="str">
        <x:v>Other businesses applied P/E • analyst</x:v>
      </x:c>
      <x:c r="C22" s="314"/>
      <x:c r="D22" s="314"/>
      <x:c r="E22" s="355" t="n">
        <x:f>Valuation_Inputs!C31</x:f>
        <x:v>10</x:v>
      </x:c>
      <x:c r="F22" s="314"/>
      <x:c r="G22" s="314"/>
      <x:c r="H22" s="314"/>
      <x:c r="I22" s="314"/>
    </x:row>
    <x:row r="23" ht="20" customHeight="1">
      <x:c r="C23" s="314"/>
      <x:c r="D23" s="314"/>
      <x:c r="E23" s="314"/>
      <x:c r="F23" s="314"/>
      <x:c r="G23" s="314"/>
      <x:c r="H23" s="314"/>
      <x:c r="I23" s="314"/>
    </x:row>
    <x:row r="24" ht="20" customHeight="1">
      <x:c r="C24" s="314"/>
      <x:c r="D24" s="314"/>
      <x:c r="E24" s="314"/>
      <x:c r="F24" s="314"/>
      <x:c r="G24" s="314"/>
      <x:c r="H24" s="314"/>
      <x:c r="I24" s="314"/>
    </x:row>
    <x:row r="25" ht="42" customHeight="1">
      <x:c r="B25" s="352" t="str">
        <x:v>Peer valuation ratios are quoted trailing P/E snapshots on 25 Sep 2026. Using trailing peer multiples on FY27 analyst earnings is a relative valuation judgement, not a mechanically comparable forward P/E.</x:v>
      </x:c>
      <x:c r="C25" s="353"/>
      <x:c r="D25" s="353"/>
      <x:c r="E25" s="353"/>
      <x:c r="F25" s="353"/>
      <x:c r="G25" s="353"/>
      <x:c r="H25" s="353"/>
      <x:c r="I25" s="353"/>
    </x:row>
    <x:row r="26" ht="40" customHeight="1">
      <x:c r="B26" s="352" t="str">
        <x:v>Godfrey and VST cigarette valuations span materially different brand scale and regional mix. FMCG peers earn different margins; IT peers assume technology services growth and have different capital structures.</x:v>
      </x:c>
      <x:c r="C26" s="353"/>
      <x:c r="D26" s="353"/>
      <x:c r="E26" s="353"/>
      <x:c r="F26" s="353"/>
      <x:c r="G26" s="353"/>
      <x:c r="H26" s="353"/>
      <x:c r="I26" s="353"/>
    </x:row>
    <x:row r="27" ht="20" customHeight="1">
      <x:c r="C27" s="314"/>
      <x:c r="D27" s="314"/>
      <x:c r="E27" s="314"/>
      <x:c r="F27" s="314"/>
      <x:c r="G27" s="314"/>
      <x:c r="H27" s="314"/>
      <x:c r="I27" s="314"/>
    </x:row>
    <x:row r="28" ht="20" customHeight="1">
      <x:c r="C28" s="314"/>
      <x:c r="D28" s="314"/>
      <x:c r="E28" s="314"/>
      <x:c r="F28" s="314"/>
      <x:c r="G28" s="314"/>
      <x:c r="H28" s="314"/>
      <x:c r="I28" s="314"/>
    </x:row>
    <x:row r="29" ht="20" customHeight="1">
      <x:c r="C29" s="314"/>
      <x:c r="D29" s="314"/>
      <x:c r="E29" s="314"/>
      <x:c r="F29" s="314"/>
      <x:c r="G29" s="314"/>
      <x:c r="H29" s="314"/>
      <x:c r="I29" s="314"/>
    </x:row>
    <x:row r="30" ht="20" customHeight="1">
      <x:c r="C30" s="314"/>
      <x:c r="D30" s="314"/>
      <x:c r="E30" s="314"/>
      <x:c r="F30" s="314"/>
      <x:c r="G30" s="314"/>
      <x:c r="H30" s="314"/>
      <x:c r="I30" s="314"/>
    </x:row>
    <x:row r="31" ht="20" customHeight="1">
      <x:c r="C31" s="314"/>
      <x:c r="D31" s="314"/>
      <x:c r="E31" s="314"/>
      <x:c r="F31" s="314"/>
      <x:c r="G31" s="314"/>
      <x:c r="H31" s="314"/>
      <x:c r="I31" s="314"/>
    </x:row>
    <x:row r="32" ht="20" customHeight="1">
      <x:c r="C32" s="314"/>
      <x:c r="D32" s="314"/>
      <x:c r="E32" s="314"/>
      <x:c r="F32" s="314"/>
      <x:c r="G32" s="314"/>
      <x:c r="H32" s="314"/>
      <x:c r="I32" s="314"/>
    </x:row>
    <x:row r="33" ht="20" customHeight="1">
      <x:c r="C33" s="314"/>
      <x:c r="D33" s="314"/>
      <x:c r="E33" s="314"/>
      <x:c r="F33" s="314"/>
      <x:c r="G33" s="314"/>
      <x:c r="H33" s="314"/>
      <x:c r="I33" s="314"/>
    </x:row>
    <x:row r="34" ht="20" customHeight="1">
      <x:c r="C34" s="314"/>
      <x:c r="D34" s="314"/>
      <x:c r="E34" s="314"/>
      <x:c r="F34" s="314"/>
      <x:c r="G34" s="314"/>
      <x:c r="H34" s="314"/>
      <x:c r="I34" s="314"/>
    </x:row>
    <x:row r="35" ht="20" customHeight="1">
      <x:c r="C35" s="314"/>
      <x:c r="D35" s="314"/>
      <x:c r="E35" s="314"/>
      <x:c r="F35" s="314"/>
      <x:c r="G35" s="314"/>
      <x:c r="H35" s="314"/>
      <x:c r="I35" s="314"/>
    </x:row>
    <x:row r="36" ht="20" customHeight="1">
      <x:c r="C36" s="314"/>
      <x:c r="D36" s="314"/>
      <x:c r="E36" s="314"/>
      <x:c r="F36" s="314"/>
      <x:c r="G36" s="314"/>
      <x:c r="H36" s="314"/>
      <x:c r="I36" s="314"/>
    </x:row>
    <x:row r="37" ht="20" customHeight="1">
      <x:c r="C37" s="314"/>
      <x:c r="D37" s="314"/>
      <x:c r="E37" s="314"/>
      <x:c r="F37" s="314"/>
      <x:c r="G37" s="314"/>
      <x:c r="H37" s="314"/>
      <x:c r="I37" s="314"/>
    </x:row>
    <x:row r="38" ht="20" customHeight="1">
      <x:c r="C38" s="314"/>
      <x:c r="D38" s="314"/>
      <x:c r="E38" s="314"/>
      <x:c r="F38" s="314"/>
      <x:c r="G38" s="314"/>
      <x:c r="H38" s="314"/>
      <x:c r="I38" s="314"/>
    </x:row>
    <x:row r="39" ht="20" customHeight="1">
      <x:c r="C39" s="314"/>
      <x:c r="D39" s="314"/>
      <x:c r="E39" s="314"/>
      <x:c r="F39" s="314"/>
      <x:c r="G39" s="314"/>
      <x:c r="H39" s="314"/>
      <x:c r="I39" s="314"/>
    </x:row>
    <x:row r="40" ht="20" customHeight="1">
      <x:c r="C40" s="314"/>
      <x:c r="D40" s="314"/>
      <x:c r="E40" s="314"/>
      <x:c r="F40" s="314"/>
      <x:c r="G40" s="314"/>
      <x:c r="H40" s="314"/>
      <x:c r="I40" s="314"/>
    </x:row>
    <x:row r="41" ht="20" customHeight="1">
      <x:c r="C41" s="314"/>
      <x:c r="D41" s="314"/>
      <x:c r="E41" s="314"/>
      <x:c r="F41" s="314"/>
      <x:c r="G41" s="314"/>
      <x:c r="H41" s="314"/>
      <x:c r="I41" s="314"/>
    </x:row>
    <x:row r="42" ht="20" customHeight="1">
      <x:c r="C42" s="314"/>
      <x:c r="D42" s="314"/>
      <x:c r="E42" s="314"/>
      <x:c r="F42" s="314"/>
      <x:c r="G42" s="314"/>
      <x:c r="H42" s="314"/>
      <x:c r="I42" s="314"/>
    </x:row>
    <x:row r="43" ht="20" customHeight="1">
      <x:c r="C43" s="314"/>
      <x:c r="D43" s="314"/>
      <x:c r="E43" s="314"/>
      <x:c r="F43" s="314"/>
      <x:c r="G43" s="314"/>
      <x:c r="H43" s="314"/>
      <x:c r="I43" s="314"/>
    </x:row>
    <x:row r="44" ht="20" customHeight="1">
      <x:c r="C44" s="314"/>
      <x:c r="D44" s="314"/>
      <x:c r="E44" s="314"/>
      <x:c r="F44" s="314"/>
      <x:c r="G44" s="314"/>
      <x:c r="H44" s="314"/>
      <x:c r="I44" s="314"/>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16:I16"/>
    <x:mergeCell ref="B25:I25"/>
    <x:mergeCell ref="B26:I26"/>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3" hidden="0" customWidth="1"/>
    <x:col min="2" max="2" width="44"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s>
  <x:sheetData>
    <x:row r="2" ht="35" customHeight="1">
      <x:c r="B2" s="317" t="str">
        <x:v>CASH FLOW VALUATION  |  FCFF DCF</x:v>
      </x:c>
      <x:c r="C2" s="317"/>
      <x:c r="D2" s="317"/>
      <x:c r="E2" s="317"/>
      <x:c r="F2" s="317"/>
      <x:c r="G2" s="317"/>
      <x:c r="H2" s="317"/>
      <x:c r="I2" s="317"/>
    </x:row>
    <x:row r="3" ht="26" customHeight="1">
      <x:c r="B3" s="319" t="str">
        <x:v>Standalone operating FCFF; exclude investment / associate income from operations and add valued financial/associate assets separately.</x:v>
      </x:c>
      <x:c r="C3" s="319"/>
      <x:c r="D3" s="319"/>
      <x:c r="E3" s="319"/>
      <x:c r="F3" s="319"/>
      <x:c r="G3" s="319"/>
      <x:c r="H3" s="319"/>
      <x:c r="I3" s="319"/>
    </x:row>
    <x:row r="4" ht="24" customHeight="1">
      <x:c r="B4" s="323" t="str">
        <x:v>FINANCIAL YEAR</x:v>
      </x:c>
      <x:c r="C4" s="322" t="str">
        <x:v>PARAMETER</x:v>
      </x:c>
      <x:c r="D4" s="322" t="str">
        <x:v>RATE</x:v>
      </x:c>
      <x:c r="E4" s="322" t="str">
        <x:v>FY27E</x:v>
      </x:c>
      <x:c r="F4" s="322" t="str">
        <x:v>FY28E</x:v>
      </x:c>
      <x:c r="G4" s="322" t="str">
        <x:v>FY29E</x:v>
      </x:c>
      <x:c r="H4" s="322" t="str">
        <x:v>FY30E</x:v>
      </x:c>
      <x:c r="I4" s="322" t="str">
        <x:v>FY31E</x:v>
      </x:c>
    </x:row>
    <x:row r="5" ht="20" customHeight="1">
      <x:c r="C5" s="314"/>
      <x:c r="D5" s="314"/>
      <x:c r="E5" s="314"/>
      <x:c r="F5" s="314"/>
      <x:c r="G5" s="314"/>
      <x:c r="H5" s="314"/>
      <x:c r="I5" s="314"/>
    </x:row>
    <x:row r="6" ht="24" customHeight="1">
      <x:c r="B6" s="323" t="str">
        <x:v>FIVE-YEAR BOTTOM-UP FREE CASH FLOW TO FIRM  •  ₹ CRORE</x:v>
      </x:c>
      <x:c r="C6" s="326"/>
      <x:c r="D6" s="326"/>
      <x:c r="E6" s="326"/>
      <x:c r="F6" s="326"/>
      <x:c r="G6" s="326"/>
      <x:c r="H6" s="326"/>
      <x:c r="I6" s="326"/>
    </x:row>
    <x:row r="7" ht="20" customHeight="1">
      <x:c r="C7" s="314"/>
      <x:c r="D7" s="314"/>
      <x:c r="E7" s="314"/>
      <x:c r="F7" s="314"/>
      <x:c r="G7" s="314"/>
      <x:c r="H7" s="314"/>
      <x:c r="I7" s="314"/>
    </x:row>
    <x:row r="8" ht="20" customHeight="1">
      <x:c r="B8" t="str">
        <x:v>Forecast segment EBIT (not interest income)</x:v>
      </x:c>
      <x:c r="C8" s="314"/>
      <x:c r="D8" s="314"/>
      <x:c r="E8" s="347" t="n">
        <x:f>Income_Statement!E17</x:f>
        <x:v>19002.1010375</x:v>
      </x:c>
      <x:c r="F8" s="347" t="n">
        <x:f>Income_Statement!F17</x:f>
        <x:v>20602.043721940005</x:v>
      </x:c>
      <x:c r="G8" s="347" t="n">
        <x:f>Income_Statement!G17</x:f>
        <x:v>22264.418810959854</x:v>
      </x:c>
      <x:c r="H8" s="347" t="n">
        <x:f>Income_Statement!H17</x:f>
        <x:v>24231.964950362315</x:v>
      </x:c>
      <x:c r="I8" s="347" t="n">
        <x:f>Income_Statement!I17</x:f>
        <x:v>26132.330075763955</x:v>
      </x:c>
    </x:row>
    <x:row r="9" ht="20" customHeight="1">
      <x:c r="B9" t="str">
        <x:v>Effective tax rate on operating EBIT</x:v>
      </x:c>
      <x:c r="C9" s="314"/>
      <x:c r="D9" s="314"/>
      <x:c r="E9" s="354" t="n">
        <x:f>Cost_Of_Capital!$C$14</x:f>
        <x:v>0.252</x:v>
      </x:c>
      <x:c r="F9" s="354" t="n">
        <x:f>Cost_Of_Capital!$C$14</x:f>
        <x:v>0.252</x:v>
      </x:c>
      <x:c r="G9" s="354" t="n">
        <x:f>Cost_Of_Capital!$C$14</x:f>
        <x:v>0.252</x:v>
      </x:c>
      <x:c r="H9" s="354" t="n">
        <x:f>Cost_Of_Capital!$C$14</x:f>
        <x:v>0.252</x:v>
      </x:c>
      <x:c r="I9" s="354" t="n">
        <x:f>Cost_Of_Capital!$C$14</x:f>
        <x:v>0.252</x:v>
      </x:c>
    </x:row>
    <x:row r="10" ht="24" customHeight="1">
      <x:c r="B10" s="344" t="str">
        <x:v>After-tax EBIT (NOPAT)</x:v>
      </x:c>
      <x:c r="C10" s="346"/>
      <x:c r="D10" s="346"/>
      <x:c r="E10" s="376" t="n">
        <x:f>E8*(1-E9)</x:f>
        <x:v>14213.57157605</x:v>
      </x:c>
      <x:c r="F10" s="376" t="n">
        <x:f>F8*(1-F9)</x:f>
        <x:v>15410.328704011123</x:v>
      </x:c>
      <x:c r="G10" s="376" t="n">
        <x:f>G8*(1-G9)</x:f>
        <x:v>16653.78527059797</x:v>
      </x:c>
      <x:c r="H10" s="376" t="n">
        <x:f>H8*(1-H9)</x:f>
        <x:v>18125.509782871013</x:v>
      </x:c>
      <x:c r="I10" s="376" t="n">
        <x:f>I8*(1-I9)</x:f>
        <x:v>19546.982896671438</x:v>
      </x:c>
    </x:row>
    <x:row r="11" ht="20" customHeight="1">
      <x:c r="B11" t="str">
        <x:v>Add depreciation &amp; amortisation</x:v>
      </x:c>
      <x:c r="C11" s="314"/>
      <x:c r="D11" s="314"/>
      <x:c r="E11" s="347" t="n">
        <x:f>Income_Statement!E31</x:f>
        <x:v>1600</x:v>
      </x:c>
      <x:c r="F11" s="347" t="n">
        <x:f>Income_Statement!F31</x:f>
        <x:v>1750</x:v>
      </x:c>
      <x:c r="G11" s="347" t="n">
        <x:f>Income_Statement!G31</x:f>
        <x:v>1800</x:v>
      </x:c>
      <x:c r="H11" s="347" t="n">
        <x:f>Income_Statement!H31</x:f>
        <x:v>1900</x:v>
      </x:c>
      <x:c r="I11" s="347" t="n">
        <x:f>Income_Statement!I31</x:f>
        <x:v>2000</x:v>
      </x:c>
    </x:row>
    <x:row r="12" ht="20" customHeight="1">
      <x:c r="B12" t="str">
        <x:v>Less cash capex (negative)</x:v>
      </x:c>
      <x:c r="C12" s="314"/>
      <x:c r="D12" s="314"/>
      <x:c r="E12" s="347" t="n">
        <x:f>-Cash_Flow!E12</x:f>
        <x:v>-2600</x:v>
      </x:c>
      <x:c r="F12" s="347" t="n">
        <x:f>-Cash_Flow!F12</x:f>
        <x:v>-2800</x:v>
      </x:c>
      <x:c r="G12" s="347" t="n">
        <x:f>-Cash_Flow!G12</x:f>
        <x:v>-2900</x:v>
      </x:c>
      <x:c r="H12" s="347" t="n">
        <x:f>-Cash_Flow!H12</x:f>
        <x:v>-3100</x:v>
      </x:c>
      <x:c r="I12" s="347" t="n">
        <x:f>-Cash_Flow!I12</x:f>
        <x:v>-3300</x:v>
      </x:c>
    </x:row>
    <x:row r="13" ht="20" customHeight="1">
      <x:c r="B13" t="str">
        <x:v>Less increase in operating working capital</x:v>
      </x:c>
      <x:c r="C13" s="314"/>
      <x:c r="D13" s="314"/>
      <x:c r="E13" s="347" t="n">
        <x:f>-Working_Capital!E19</x:f>
        <x:v>384.6774751950088</x:v>
      </x:c>
      <x:c r="F13" s="347" t="n">
        <x:f>-Working_Capital!F19</x:f>
        <x:v>-696.2762976001341</x:v>
      </x:c>
      <x:c r="G13" s="347" t="n">
        <x:f>-Working_Capital!G19</x:f>
        <x:v>-498.12378993828133</x:v>
      </x:c>
      <x:c r="H13" s="347" t="n">
        <x:f>-Working_Capital!H19</x:f>
        <x:v>-630.5390315416353</x:v>
      </x:c>
      <x:c r="I13" s="347" t="n">
        <x:f>-Working_Capital!I19</x:f>
        <x:v>-532.6077476811224</x:v>
      </x:c>
    </x:row>
    <x:row r="14" ht="24" customHeight="1">
      <x:c r="B14" s="363" t="str">
        <x:v>FREE CASH FLOW TO THE FIRM</x:v>
      </x:c>
      <x:c r="C14" s="365"/>
      <x:c r="D14" s="365"/>
      <x:c r="E14" s="373" t="n">
        <x:f>SUM(E10:E13)</x:f>
        <x:v>13598.24905124501</x:v>
      </x:c>
      <x:c r="F14" s="373" t="n">
        <x:f>SUM(F10:F13)</x:f>
        <x:v>13664.05240641099</x:v>
      </x:c>
      <x:c r="G14" s="373" t="n">
        <x:f>SUM(G10:G13)</x:f>
        <x:v>15055.66148065969</x:v>
      </x:c>
      <x:c r="H14" s="373" t="n">
        <x:f>SUM(H10:H13)</x:f>
        <x:v>16294.970751329378</x:v>
      </x:c>
      <x:c r="I14" s="373" t="n">
        <x:f>SUM(I10:I13)</x:f>
        <x:v>17714.375148990315</x:v>
      </x:c>
    </x:row>
    <x:row r="15" ht="20" customHeight="1">
      <x:c r="B15" t="str">
        <x:v>Remaining-year/stub multiplier</x:v>
      </x:c>
      <x:c r="C15" s="314"/>
      <x:c r="D15" s="314"/>
      <x:c r="E15" s="354" t="n">
        <x:f>Valuation_Inputs!$C$28</x:f>
        <x:v>0.5</x:v>
      </x:c>
      <x:c r="F15" s="338" t="n">
        <x:f>1</x:f>
        <x:v>1</x:v>
      </x:c>
      <x:c r="G15" s="338" t="n">
        <x:f>1</x:f>
        <x:v>1</x:v>
      </x:c>
      <x:c r="H15" s="338" t="n">
        <x:f>1</x:f>
        <x:v>1</x:v>
      </x:c>
      <x:c r="I15" s="338" t="n">
        <x:f>1</x:f>
        <x:v>1</x:v>
      </x:c>
    </x:row>
    <x:row r="16" ht="24" customHeight="1">
      <x:c r="B16" s="344" t="str">
        <x:v>ADJUSTED CASH FLOW ELIGIBLE TO DISCOUNT</x:v>
      </x:c>
      <x:c r="C16" s="346"/>
      <x:c r="D16" s="346"/>
      <x:c r="E16" s="376" t="n">
        <x:f>E14*E15</x:f>
        <x:v>6799.124525622505</x:v>
      </x:c>
      <x:c r="F16" s="376" t="n">
        <x:f>F14*F15</x:f>
        <x:v>13664.05240641099</x:v>
      </x:c>
      <x:c r="G16" s="376" t="n">
        <x:f>G14*G15</x:f>
        <x:v>15055.66148065969</x:v>
      </x:c>
      <x:c r="H16" s="376" t="n">
        <x:f>H14*H15</x:f>
        <x:v>16294.970751329378</x:v>
      </x:c>
      <x:c r="I16" s="376" t="n">
        <x:f>I14*I15</x:f>
        <x:v>17714.375148990315</x:v>
      </x:c>
    </x:row>
    <x:row r="17" ht="20" customHeight="1">
      <x:c r="B17" t="str">
        <x:v>Discount exponent, years after Sep 2026</x:v>
      </x:c>
      <x:c r="C17" s="314"/>
      <x:c r="D17" s="314"/>
      <x:c r="E17" s="382" t="n">
        <x:f>0.5</x:f>
        <x:v>0.5</x:v>
      </x:c>
      <x:c r="F17" s="382" t="n">
        <x:f>E17+1</x:f>
        <x:v>1.5</x:v>
      </x:c>
      <x:c r="G17" s="382" t="n">
        <x:f>F17+1</x:f>
        <x:v>2.5</x:v>
      </x:c>
      <x:c r="H17" s="382" t="n">
        <x:f>G17+1</x:f>
        <x:v>3.5</x:v>
      </x:c>
      <x:c r="I17" s="382" t="n">
        <x:f>H17+1</x:f>
        <x:v>4.5</x:v>
      </x:c>
    </x:row>
    <x:row r="18" ht="20" customHeight="1">
      <x:c r="B18" t="str">
        <x:v>Present-value factor</x:v>
      </x:c>
      <x:c r="C18" s="314"/>
      <x:c r="D18" s="314"/>
      <x:c r="E18" s="383" t="n">
        <x:f>1/(1+Cost_Of_Capital!$C$20)^E17</x:f>
        <x:v>0.9445678228408232</x:v>
      </x:c>
      <x:c r="F18" s="383" t="n">
        <x:f>1/(1+Cost_Of_Capital!$C$20)^F17</x:f>
        <x:v>0.8427513194096277</x:v>
      </x:c>
      <x:c r="G18" s="383" t="n">
        <x:f>1/(1+Cost_Of_Capital!$C$20)^G17</x:f>
        <x:v>0.7519097826460205</x:v>
      </x:c>
      <x:c r="H18" s="383" t="n">
        <x:f>1/(1+Cost_Of_Capital!$C$20)^H17</x:f>
        <x:v>0.6708602030250669</x:v>
      </x:c>
      <x:c r="I18" s="383" t="n">
        <x:f>1/(1+Cost_Of_Capital!$C$20)^I17</x:f>
        <x:v>0.5985470895445277</x:v>
      </x:c>
    </x:row>
    <x:row r="19" ht="24" customHeight="1">
      <x:c r="B19" s="363" t="str">
        <x:v>PV OF FORECAST OPERATING FCFF</x:v>
      </x:c>
      <x:c r="C19" s="365"/>
      <x:c r="D19" s="365"/>
      <x:c r="E19" s="373" t="n">
        <x:f>E16*E18</x:f>
        <x:v>6422.234250390894</x:v>
      </x:c>
      <x:c r="F19" s="373" t="n">
        <x:f>F16*F18</x:f>
        <x:v>11515.39819398516</x:v>
      </x:c>
      <x:c r="G19" s="373" t="n">
        <x:f>G16*G18</x:f>
        <x:v>11320.49915151489</x:v>
      </x:c>
      <x:c r="H19" s="373" t="n">
        <x:f>H16*H18</x:f>
        <x:v>10931.647386524353</x:v>
      </x:c>
      <x:c r="I19" s="373" t="n">
        <x:f>I16*I18</x:f>
        <x:v>10602.887688528062</x:v>
      </x:c>
    </x:row>
    <x:row r="20" ht="20" customHeight="1">
      <x:c r="C20" s="314"/>
      <x:c r="D20" s="314"/>
      <x:c r="E20" s="314"/>
      <x:c r="F20" s="314"/>
      <x:c r="G20" s="314"/>
      <x:c r="H20" s="314"/>
      <x:c r="I20" s="314"/>
    </x:row>
    <x:row r="21" ht="24" customHeight="1">
      <x:c r="B21" s="323" t="str">
        <x:v>PERPETUITY &amp; ENTERPRISE / EQUITY RECONCILIATION</x:v>
      </x:c>
      <x:c r="C21" s="326"/>
      <x:c r="D21" s="326"/>
      <x:c r="E21" s="326"/>
      <x:c r="F21" s="326"/>
      <x:c r="G21" s="326"/>
      <x:c r="H21" s="326"/>
      <x:c r="I21" s="326"/>
    </x:row>
    <x:row r="22" ht="24" customHeight="1">
      <x:c r="B22" s="344" t="str">
        <x:v>Present value — forecast explicit FCFF</x:v>
      </x:c>
      <x:c r="C22" s="376" t="n">
        <x:f>SUM(E19:I19)</x:f>
        <x:v>50792.66667094336</x:v>
      </x:c>
      <x:c r="D22" s="346"/>
      <x:c r="E22" s="346"/>
      <x:c r="F22" s="346"/>
      <x:c r="G22" s="346"/>
      <x:c r="H22" s="346"/>
      <x:c r="I22" s="346"/>
    </x:row>
    <x:row r="23" ht="20" customHeight="1">
      <x:c r="B23" t="str">
        <x:v>Long-run growth (perpetuity)</x:v>
      </x:c>
      <x:c r="C23" s="354" t="n">
        <x:f>Cost_Of_Capital!C21</x:f>
        <x:v>0.04</x:v>
      </x:c>
      <x:c r="D23" s="314"/>
      <x:c r="E23" s="314"/>
      <x:c r="F23" s="314"/>
      <x:c r="G23" s="314"/>
      <x:c r="H23" s="314"/>
      <x:c r="I23" s="314"/>
    </x:row>
    <x:row r="24" ht="20" customHeight="1">
      <x:c r="B24" t="str">
        <x:v>WACC</x:v>
      </x:c>
      <x:c r="C24" s="354" t="n">
        <x:f>Cost_Of_Capital!C20</x:f>
        <x:v>0.12081440999999998</x:v>
      </x:c>
      <x:c r="D24" s="314"/>
      <x:c r="E24" s="314"/>
      <x:c r="F24" s="314"/>
      <x:c r="G24" s="314"/>
      <x:c r="H24" s="314"/>
      <x:c r="I24" s="314"/>
    </x:row>
    <x:row r="25" ht="20" customHeight="1">
      <x:c r="B25" t="str">
        <x:v>FY32 first normalized full-year FCFF</x:v>
      </x:c>
      <x:c r="C25" s="337" t="n">
        <x:f>I14*(1+C23)</x:f>
        <x:v>18422.95015494993</x:v>
      </x:c>
      <x:c r="D25" s="314"/>
      <x:c r="E25" s="314"/>
      <x:c r="F25" s="314"/>
      <x:c r="G25" s="314"/>
      <x:c r="H25" s="314"/>
      <x:c r="I25" s="314"/>
    </x:row>
    <x:row r="26" ht="20" customHeight="1">
      <x:c r="B26" t="str">
        <x:v>Terminal value at end FY31</x:v>
      </x:c>
      <x:c r="C26" s="337" t="n">
        <x:f>IFERROR(C25/(C24-C23),0)</x:f>
        <x:v>227966.15300352912</x:v>
      </x:c>
      <x:c r="D26" s="314"/>
      <x:c r="E26" s="314"/>
      <x:c r="F26" s="314"/>
      <x:c r="G26" s="314"/>
      <x:c r="H26" s="314"/>
      <x:c r="I26" s="314"/>
    </x:row>
    <x:row r="27" ht="24" customHeight="1">
      <x:c r="B27" s="344" t="str">
        <x:v>PV of terminal franchise</x:v>
      </x:c>
      <x:c r="C27" s="376" t="n">
        <x:f>C26*I18</x:f>
        <x:v>136448.47739492485</x:v>
      </x:c>
      <x:c r="D27" s="346"/>
      <x:c r="E27" s="346"/>
      <x:c r="F27" s="346"/>
      <x:c r="G27" s="346"/>
      <x:c r="H27" s="346"/>
      <x:c r="I27" s="346"/>
    </x:row>
    <x:row r="28" ht="24" customHeight="1">
      <x:c r="B28" s="363" t="str">
        <x:v>STANDALONE OPERATING ENTERPRISE VALUE</x:v>
      </x:c>
      <x:c r="C28" s="373" t="n">
        <x:f>SUM(C22,C27)</x:f>
        <x:v>187241.14406586823</x:v>
      </x:c>
      <x:c r="D28" s="365"/>
      <x:c r="E28" s="365"/>
      <x:c r="F28" s="365"/>
      <x:c r="G28" s="365"/>
      <x:c r="H28" s="365"/>
      <x:c r="I28" s="365"/>
    </x:row>
    <x:row r="29" ht="20" customHeight="1">
      <x:c r="C29" s="314"/>
      <x:c r="D29" s="314"/>
      <x:c r="E29" s="314"/>
      <x:c r="F29" s="314"/>
      <x:c r="G29" s="314"/>
      <x:c r="H29" s="314"/>
      <x:c r="I29" s="314"/>
    </x:row>
    <x:row r="30" ht="20" customHeight="1">
      <x:c r="B30" t="str">
        <x:v>Separately valued group-only subsidiaries</x:v>
      </x:c>
      <x:c r="C30" s="347" t="n">
        <x:f>SOTP!E15</x:f>
        <x:v>16429.6</x:v>
      </x:c>
      <x:c r="D30" s="314"/>
      <x:c r="E30" s="314"/>
      <x:c r="F30" s="314"/>
      <x:c r="G30" s="314"/>
      <x:c r="H30" s="314"/>
      <x:c r="I30" s="314"/>
    </x:row>
    <x:row r="31" ht="20" customHeight="1">
      <x:c r="B31" t="str">
        <x:v>Quoted Hotels associate interest, net haircut</x:v>
      </x:c>
      <x:c r="C31" s="347" t="n">
        <x:f>SOTP!E16</x:f>
        <x:v>12766.684725</x:v>
      </x:c>
      <x:c r="D31" s="314"/>
      <x:c r="E31" s="314"/>
      <x:c r="F31" s="314"/>
      <x:c r="G31" s="314"/>
      <x:c r="H31" s="314"/>
      <x:c r="I31" s="314"/>
    </x:row>
    <x:row r="32" ht="20" customHeight="1">
      <x:c r="B32" t="str">
        <x:v>Pro-forma liquid assets less debt / transaction</x:v>
      </x:c>
      <x:c r="C32" s="347" t="n">
        <x:f>SOTP!E26</x:f>
        <x:v>13018.889000000003</x:v>
      </x:c>
      <x:c r="D32" s="314"/>
      <x:c r="E32" s="314"/>
      <x:c r="F32" s="314"/>
      <x:c r="G32" s="314"/>
      <x:c r="H32" s="314"/>
      <x:c r="I32" s="314"/>
    </x:row>
    <x:row r="33" ht="24" customHeight="1">
      <x:c r="B33" s="363" t="str">
        <x:v>DCF EQUITY VALUE INCLUDING NON-OPERATING ASSETS</x:v>
      </x:c>
      <x:c r="C33" s="373" t="n">
        <x:f>SUM(C28,C30:C32)</x:f>
        <x:v>229456.31779086823</x:v>
      </x:c>
      <x:c r="D33" s="365"/>
      <x:c r="E33" s="365"/>
      <x:c r="F33" s="365"/>
      <x:c r="G33" s="365"/>
      <x:c r="H33" s="365"/>
      <x:c r="I33" s="365"/>
    </x:row>
    <x:row r="34" ht="20" customHeight="1">
      <x:c r="B34" t="str">
        <x:v>Diluted FY27E shares (crore)</x:v>
      </x:c>
      <x:c r="C34" s="347" t="n">
        <x:f>Valuation_Inputs!C39</x:f>
        <x:v>1254</x:v>
      </x:c>
      <x:c r="D34" s="314"/>
      <x:c r="E34" s="314"/>
      <x:c r="F34" s="314"/>
      <x:c r="G34" s="314"/>
      <x:c r="H34" s="314"/>
      <x:c r="I34" s="314"/>
    </x:row>
    <x:row r="35" ht="24" customHeight="1">
      <x:c r="B35" s="363" t="str">
        <x:v>DCF EQUITY VALUE PER SHARE</x:v>
      </x:c>
      <x:c r="C35" s="380" t="n">
        <x:f>IFERROR(C33/C34,0)</x:f>
        <x:v>182.9795197694324</x:v>
      </x:c>
      <x:c r="D35" s="365"/>
      <x:c r="E35" s="365"/>
      <x:c r="F35" s="365"/>
      <x:c r="G35" s="365"/>
      <x:c r="H35" s="365"/>
      <x:c r="I35" s="365"/>
    </x:row>
    <x:row r="36" ht="20" customHeight="1">
      <x:c r="B36" t="str">
        <x:v>Share market reference, 25 Sep 2026</x:v>
      </x:c>
      <x:c r="C36" s="381" t="n">
        <x:f>Valuation_Inputs!C7</x:f>
        <x:v>268.9</x:v>
      </x:c>
      <x:c r="D36" s="314"/>
      <x:c r="E36" s="314"/>
      <x:c r="F36" s="314"/>
      <x:c r="G36" s="314"/>
      <x:c r="H36" s="314"/>
      <x:c r="I36" s="314"/>
    </x:row>
    <x:row r="37" ht="20" customHeight="1">
      <x:c r="B37" t="str">
        <x:v>Difference to quoted share price</x:v>
      </x:c>
      <x:c r="C37" s="338" t="n">
        <x:f>IFERROR(C35/C36-1,0)</x:f>
        <x:v>-0.31952577251977543</x:v>
      </x:c>
      <x:c r="D37" s="314"/>
      <x:c r="E37" s="314"/>
      <x:c r="F37" s="314"/>
      <x:c r="G37" s="314"/>
      <x:c r="H37" s="314"/>
      <x:c r="I37" s="314"/>
    </x:row>
    <x:row r="38" ht="20" customHeight="1">
      <x:c r="B38" t="str">
        <x:v>Share of franchise EV in terminal value</x:v>
      </x:c>
      <x:c r="C38" s="338" t="n">
        <x:f>IFERROR(C27/C28,0)</x:f>
        <x:v>0.7287312736506492</x:v>
      </x:c>
      <x:c r="D38" s="314"/>
      <x:c r="E38" s="314"/>
      <x:c r="F38" s="314"/>
      <x:c r="G38" s="314"/>
      <x:c r="H38" s="314"/>
      <x:c r="I38" s="314"/>
    </x:row>
    <x:row r="39" ht="20" customHeight="1">
      <x:c r="B39" t="str">
        <x:v>WACC greater than g? (1=pass)</x:v>
      </x:c>
      <x:c r="C39" s="356" t="n">
        <x:f>IF(C24&gt;C23,1,0)</x:f>
        <x:v>1</x:v>
      </x:c>
      <x:c r="D39" s="314"/>
      <x:c r="E39" s="314"/>
      <x:c r="F39" s="314"/>
      <x:c r="G39" s="314"/>
      <x:c r="H39" s="314"/>
      <x:c r="I39" s="314"/>
    </x:row>
    <x:row r="40" ht="20" customHeight="1">
      <x:c r="C40" s="314"/>
      <x:c r="D40" s="314"/>
      <x:c r="E40" s="314"/>
      <x:c r="F40" s="314"/>
      <x:c r="G40" s="314"/>
      <x:c r="H40" s="314"/>
      <x:c r="I40" s="314"/>
    </x:row>
    <x:row r="41" ht="20" customHeight="1">
      <x:c r="C41" s="314"/>
      <x:c r="D41" s="314"/>
      <x:c r="E41" s="314"/>
      <x:c r="F41" s="314"/>
      <x:c r="G41" s="314"/>
      <x:c r="H41" s="314"/>
      <x:c r="I41" s="314"/>
    </x:row>
    <x:row r="42" ht="46" customHeight="1">
      <x:c r="B42" s="352" t="str">
        <x:v>DCF discounts FY27E remaining half-year FCFF (50% stub), then full FY28–31, and terminal value at 4.5 years. FY26 balance-sheet cash is only adjusted for Century transaction; no complete September cash roll-forward is available.</x:v>
      </x:c>
      <x:c r="C42" s="353"/>
      <x:c r="D42" s="353"/>
      <x:c r="E42" s="353"/>
      <x:c r="F42" s="353"/>
      <x:c r="G42" s="353"/>
      <x:c r="H42" s="353"/>
      <x:c r="I42" s="353"/>
    </x:row>
    <x:row r="43" ht="45" customHeight="1">
      <x:c r="B43" s="352" t="str">
        <x:v>OPERATING TAX SHIELD: NOPAT = segment PBIT × (1–tax). Add D&amp;A, subtract operating capex and change in operating NWC. No dividend deductions in FCFF. Interest, Hotels dividends and investment income are not double-counted in operating EBIT.</x:v>
      </x:c>
      <x:c r="C43" s="353"/>
      <x:c r="D43" s="353"/>
      <x:c r="E43" s="353"/>
      <x:c r="F43" s="353"/>
      <x:c r="G43" s="353"/>
      <x:c r="H43" s="353"/>
      <x:c r="I43" s="353"/>
    </x:row>
    <x:row r="44" ht="43" customHeight="1">
      <x:c r="B44" s="352" t="str">
        <x:v>The FY27 cigarette excise discontinuity is already reflected in the linked operating forecast. FY27 EBIT and working capital estimates are analyst cases with substantial uncertainty. Never extrapolate historic cigarette margin onto tax-inclusive reported revenue.</x:v>
      </x:c>
      <x:c r="C44" s="353"/>
      <x:c r="D44" s="353"/>
      <x:c r="E44" s="353"/>
      <x:c r="F44" s="353"/>
      <x:c r="G44" s="353"/>
      <x:c r="H44" s="353"/>
      <x:c r="I44" s="353"/>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21:I21"/>
    <x:mergeCell ref="B42:I42"/>
    <x:mergeCell ref="B43:I43"/>
    <x:mergeCell ref="B44:I44"/>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3" hidden="0" customWidth="1"/>
    <x:col min="2" max="2" width="46" hidden="0" customWidth="1"/>
    <x:col min="3" max="3" width="19" hidden="0" customWidth="1"/>
    <x:col min="4" max="4" width="19" hidden="0" customWidth="1"/>
    <x:col min="5" max="5" width="19" hidden="0" customWidth="1"/>
    <x:col min="6" max="6" width="38" hidden="0" customWidth="1"/>
    <x:col min="7" max="7" width="17" hidden="0" customWidth="1"/>
    <x:col min="8" max="8" width="17" hidden="0" customWidth="1"/>
    <x:col min="9" max="9" width="17" hidden="0" customWidth="1"/>
  </x:cols>
  <x:sheetData>
    <x:row r="2" ht="35" customHeight="1">
      <x:c r="B2" s="317" t="str">
        <x:v>SEGMENT-WISE VALUATION  |  SOTP</x:v>
      </x:c>
      <x:c r="C2" s="317"/>
      <x:c r="D2" s="317"/>
      <x:c r="E2" s="317"/>
      <x:c r="F2" s="317"/>
      <x:c r="G2" s="317"/>
      <x:c r="H2" s="317"/>
      <x:c r="I2" s="317"/>
    </x:row>
    <x:row r="3" ht="26" customHeight="1">
      <x:c r="B3" s="319" t="str">
        <x:v>Segment PBIT × judgemental earnings multiple; explicitly separate subsidiary value, liquid assets and Hotels equity stake.</x:v>
      </x:c>
      <x:c r="C3" s="319"/>
      <x:c r="D3" s="319"/>
      <x:c r="E3" s="319"/>
      <x:c r="F3" s="319"/>
      <x:c r="G3" s="319"/>
      <x:c r="H3" s="319"/>
      <x:c r="I3" s="319"/>
    </x:row>
    <x:row r="4" ht="24" customHeight="1">
      <x:c r="B4" s="323" t="str">
        <x:v>SEGMENT / BRIDGE</x:v>
      </x:c>
      <x:c r="C4" s="322" t="str">
        <x:v>FY27E PROFIT</x:v>
      </x:c>
      <x:c r="D4" s="322" t="str">
        <x:v>APPLIED P/E</x:v>
      </x:c>
      <x:c r="E4" s="322" t="str">
        <x:v>EQUITY VALUE</x:v>
      </x:c>
      <x:c r="F4" s="322" t="str">
        <x:v>CLASSIFICATION</x:v>
      </x:c>
      <x:c r="G4" s="322" t="str"/>
      <x:c r="H4" s="322" t="str"/>
      <x:c r="I4" s="322" t="str"/>
    </x:row>
    <x:row r="5" ht="20" customHeight="1">
      <x:c r="C5" s="314"/>
      <x:c r="D5" s="314"/>
      <x:c r="E5" s="314"/>
      <x:c r="F5" s="314"/>
      <x:c r="G5" s="314"/>
      <x:c r="H5" s="314"/>
      <x:c r="I5" s="314"/>
    </x:row>
    <x:row r="6" ht="24" customHeight="1">
      <x:c r="B6" s="323" t="str">
        <x:v>STANDALONE OPERATIONAL BUSINESS  •  YEAR-1 EBIT-BASED PROXY</x:v>
      </x:c>
      <x:c r="C6" s="326"/>
      <x:c r="D6" s="326"/>
      <x:c r="E6" s="326"/>
      <x:c r="F6" s="326"/>
      <x:c r="G6" s="326"/>
      <x:c r="H6" s="326"/>
      <x:c r="I6" s="326"/>
    </x:row>
    <x:row r="7" ht="20" customHeight="1">
      <x:c r="B7" t="str">
        <x:v>Cigarettes</x:v>
      </x:c>
      <x:c r="C7" s="347" t="n">
        <x:f>Segments!E21</x:f>
        <x:v>14471.471520000001</x:v>
      </x:c>
      <x:c r="D7" s="335" t="n">
        <x:v>17.5</x:v>
      </x:c>
      <x:c r="E7" s="337" t="n">
        <x:f>C7*D7</x:f>
        <x:v>253250.75160000002</x:v>
      </x:c>
      <x:c r="F7" s="314" t="str">
        <x:v>Legal cigarette manufacturing; excise-adjusted forecast EBIT</x:v>
      </x:c>
      <x:c r="G7" s="314"/>
      <x:c r="H7" s="314"/>
      <x:c r="I7" s="314"/>
    </x:row>
    <x:row r="8" ht="20" customHeight="1">
      <x:c r="B8" t="str">
        <x:v>FMCG — Others</x:v>
      </x:c>
      <x:c r="C8" s="347" t="n">
        <x:f>Segments!E22</x:f>
        <x:v>2284.1899125000004</x:v>
      </x:c>
      <x:c r="D8" s="335" t="n">
        <x:v>30</x:v>
      </x:c>
      <x:c r="E8" s="337" t="n">
        <x:f>C8*D8</x:f>
        <x:v>68525.69737500002</x:v>
      </x:c>
      <x:c r="F8" s="314" t="str">
        <x:v>Consumer categories</x:v>
      </x:c>
      <x:c r="G8" s="314"/>
      <x:c r="H8" s="314"/>
      <x:c r="I8" s="314"/>
    </x:row>
    <x:row r="9" ht="20" customHeight="1">
      <x:c r="B9" t="str">
        <x:v>Agri Business</x:v>
      </x:c>
      <x:c r="C9" s="347" t="n">
        <x:f>Segments!E23</x:f>
        <x:v>1463.3704400000001</x:v>
      </x:c>
      <x:c r="D9" s="335" t="n">
        <x:v>12</x:v>
      </x:c>
      <x:c r="E9" s="337" t="n">
        <x:f>C9*D9</x:f>
        <x:v>17560.44528</x:v>
      </x:c>
      <x:c r="F9" s="314" t="str">
        <x:v>Commodity/volume swings; analyst multiple</x:v>
      </x:c>
      <x:c r="G9" s="314"/>
      <x:c r="H9" s="314"/>
      <x:c r="I9" s="314"/>
    </x:row>
    <x:row r="10" ht="20" customHeight="1">
      <x:c r="B10" t="str">
        <x:v>Paperboards incl Century</x:v>
      </x:c>
      <x:c r="C10" s="347" t="n">
        <x:f>Segments!E24</x:f>
        <x:v>783.069165</x:v>
      </x:c>
      <x:c r="D10" s="335" t="n">
        <x:v>12</x:v>
      </x:c>
      <x:c r="E10" s="337" t="n">
        <x:f>C10*D10</x:f>
        <x:v>9396.82998</x:v>
      </x:c>
      <x:c r="F10" s="314" t="str">
        <x:v>Includes acquired Century operating profit</x:v>
      </x:c>
      <x:c r="G10" s="314"/>
      <x:c r="H10" s="314"/>
      <x:c r="I10" s="314"/>
    </x:row>
    <x:row r="11" ht="20" customHeight="1">
      <x:c r="B11" t="str">
        <x:v>Other operating businesses</x:v>
      </x:c>
      <x:c r="C11" s="347" t="n">
        <x:f>Segments!E25</x:f>
        <x:v>0</x:v>
      </x:c>
      <x:c r="D11" s="335" t="n">
        <x:v>5</x:v>
      </x:c>
      <x:c r="E11" s="337" t="n">
        <x:f>C11*D11</x:f>
        <x:v>0</x:v>
      </x:c>
      <x:c r="F11" s="314" t="str">
        <x:v>Residual; materiality low</x:v>
      </x:c>
      <x:c r="G11" s="314"/>
      <x:c r="H11" s="314"/>
      <x:c r="I11" s="314"/>
    </x:row>
    <x:row r="12" ht="24" customHeight="1">
      <x:c r="B12" s="363" t="str">
        <x:v>STANDALONE OPERATING BUSINESS VALUE</x:v>
      </x:c>
      <x:c r="C12" s="365"/>
      <x:c r="D12" s="365"/>
      <x:c r="E12" s="373" t="n">
        <x:f>SUM(E7:E11)</x:f>
        <x:v>348733.72423500003</x:v>
      </x:c>
      <x:c r="F12" s="365"/>
      <x:c r="G12" s="365"/>
      <x:c r="H12" s="365"/>
      <x:c r="I12" s="365"/>
    </x:row>
    <x:row r="13" ht="20" customHeight="1">
      <x:c r="C13" s="314"/>
      <x:c r="D13" s="314"/>
      <x:c r="E13" s="314"/>
      <x:c r="F13" s="314"/>
      <x:c r="G13" s="314"/>
      <x:c r="H13" s="314"/>
      <x:c r="I13" s="314"/>
    </x:row>
    <x:row r="14" ht="24" customHeight="1">
      <x:c r="B14" s="323" t="str">
        <x:v>WHOLLY / MAJORITY HELD SUBSIDIARIES &amp; ITC HOTELS ASSOCIATE</x:v>
      </x:c>
      <x:c r="C14" s="326"/>
      <x:c r="D14" s="326"/>
      <x:c r="E14" s="326"/>
      <x:c r="F14" s="326"/>
      <x:c r="G14" s="326"/>
      <x:c r="H14" s="326"/>
      <x:c r="I14" s="326"/>
    </x:row>
    <x:row r="15" ht="20" customHeight="1">
      <x:c r="B15" t="str">
        <x:v>Group-only after-tax owner profit proxy (ex Hotels)</x:v>
      </x:c>
      <x:c r="C15" s="347" t="n">
        <x:f>MAX(0,Consolidated_Overlay!E14*(1-Valuation_Inputs!C19)-Consolidated_Overlay!E19)</x:f>
        <x:v>746.8</x:v>
      </x:c>
      <x:c r="D15" s="355" t="n">
        <x:f>Valuation_Inputs!C29</x:f>
        <x:v>22</x:v>
      </x:c>
      <x:c r="E15" s="337" t="n">
        <x:f>C15*D15</x:f>
        <x:v>16429.6</x:v>
      </x:c>
      <x:c r="F15" s="314" t="str">
        <x:v>Group-only FY27 PBT less tax &amp; noncontrolling income: includes Infotech and other subs; NOT an Infotech-only valuation</x:v>
      </x:c>
      <x:c r="G15" s="314"/>
      <x:c r="H15" s="314"/>
      <x:c r="I15" s="314"/>
    </x:row>
    <x:row r="16" ht="20" customHeight="1">
      <x:c r="B16" t="str">
        <x:v>ITC Hotels retained equity interest</x:v>
      </x:c>
      <x:c r="C16" s="347" t="n">
        <x:f>Valuation_Inputs!C10*Valuation_Inputs!C11</x:f>
        <x:v>13438.6155</x:v>
      </x:c>
      <x:c r="D16" s="354" t="n">
        <x:f>1-Valuation_Inputs!C24</x:f>
        <x:v>0.95</x:v>
      </x:c>
      <x:c r="E16" s="337" t="n">
        <x:f>C16*D16</x:f>
        <x:v>12766.684725</x:v>
      </x:c>
      <x:c r="F16" s="314" t="str">
        <x:v>39.85% of quoted Hotels market cap less optional holding discount; do not add its associate profit again</x:v>
      </x:c>
      <x:c r="G16" s="314"/>
      <x:c r="H16" s="314"/>
      <x:c r="I16" s="314"/>
    </x:row>
    <x:row r="17" ht="24" customHeight="1">
      <x:c r="B17" s="344" t="str">
        <x:v>SUM OF OPERATING AND SEPARATELY QUOTED ASSETS</x:v>
      </x:c>
      <x:c r="C17" s="346"/>
      <x:c r="D17" s="346"/>
      <x:c r="E17" s="376" t="n">
        <x:f>SUM(E12,E15:E16)</x:f>
        <x:v>377930.00896</x:v>
      </x:c>
      <x:c r="F17" s="346"/>
      <x:c r="G17" s="346"/>
      <x:c r="H17" s="346"/>
      <x:c r="I17" s="346"/>
    </x:row>
    <x:row r="18" ht="20" customHeight="1">
      <x:c r="C18" s="314"/>
      <x:c r="D18" s="314"/>
      <x:c r="E18" s="314"/>
      <x:c r="F18" s="314"/>
      <x:c r="G18" s="314"/>
      <x:c r="H18" s="314"/>
      <x:c r="I18" s="314"/>
    </x:row>
    <x:row r="19" ht="24" customHeight="1">
      <x:c r="B19" s="323" t="str">
        <x:v>FINANCIAL INVESTMENTS, DEBT AND POST-BALANCE SHEET DEAL SPEND</x:v>
      </x:c>
      <x:c r="C19" s="326"/>
      <x:c r="D19" s="326"/>
      <x:c r="E19" s="326"/>
      <x:c r="F19" s="326"/>
      <x:c r="G19" s="326"/>
      <x:c r="H19" s="326"/>
      <x:c r="I19" s="326"/>
    </x:row>
    <x:row r="20" ht="20" customHeight="1">
      <x:c r="B20" t="str">
        <x:v>FY26 current liquid investments after haircut</x:v>
      </x:c>
      <x:c r="C20" s="314"/>
      <x:c r="D20" s="314"/>
      <x:c r="E20" s="347" t="n">
        <x:f>Historic_BS!D8*Valuation_Inputs!C25</x:f>
        <x:v>16746.309</x:v>
      </x:c>
      <x:c r="F20" s="314"/>
      <x:c r="G20" s="314"/>
      <x:c r="H20" s="314"/>
      <x:c r="I20" s="314"/>
    </x:row>
    <x:row r="21" ht="20" customHeight="1">
      <x:c r="B21" t="str">
        <x:v>FY26 other bank balances after haircut</x:v>
      </x:c>
      <x:c r="C21" s="314"/>
      <x:c r="D21" s="314"/>
      <x:c r="E21" s="347" t="n">
        <x:f>Historic_BS!D9*Valuation_Inputs!C26</x:f>
        <x:v>1822.95</x:v>
      </x:c>
      <x:c r="F21" s="314"/>
      <x:c r="G21" s="314"/>
      <x:c r="H21" s="314"/>
      <x:c r="I21" s="314"/>
    </x:row>
    <x:row r="22" ht="20" customHeight="1">
      <x:c r="B22" t="str">
        <x:v>FY26 cash and equivalents</x:v>
      </x:c>
      <x:c r="C22" s="314"/>
      <x:c r="D22" s="314"/>
      <x:c r="E22" s="347" t="n">
        <x:f>Historic_BS!D7</x:f>
        <x:v>110.02</x:v>
      </x:c>
      <x:c r="F22" s="314"/>
      <x:c r="G22" s="314"/>
      <x:c r="H22" s="314"/>
      <x:c r="I22" s="314"/>
    </x:row>
    <x:row r="23" ht="20" customHeight="1">
      <x:c r="B23" t="str">
        <x:v>Less current borrowings</x:v>
      </x:c>
      <x:c r="C23" s="314"/>
      <x:c r="D23" s="314"/>
      <x:c r="E23" s="347" t="n">
        <x:f> -Historic_BS!D22</x:f>
        <x:v>-2026.22</x:v>
      </x:c>
      <x:c r="F23" s="314"/>
      <x:c r="G23" s="314"/>
      <x:c r="H23" s="314"/>
      <x:c r="I23" s="314"/>
    </x:row>
    <x:row r="24" ht="20" customHeight="1">
      <x:c r="B24" t="str">
        <x:v>Less all capital lease liabilities</x:v>
      </x:c>
      <x:c r="C24" s="314"/>
      <x:c r="D24" s="314"/>
      <x:c r="E24" s="347" t="n">
        <x:f>-(Historic_BS!D23+Historic_BS!D28)</x:f>
        <x:v>-136.17000000000002</x:v>
      </x:c>
      <x:c r="F24" s="314"/>
      <x:c r="G24" s="314"/>
      <x:c r="H24" s="314"/>
      <x:c r="I24" s="314"/>
    </x:row>
    <x:row r="25" ht="20" customHeight="1">
      <x:c r="B25" t="str">
        <x:v>Less Century purchase consideration paid Aug 2026</x:v>
      </x:c>
      <x:c r="C25" s="314"/>
      <x:c r="D25" s="314"/>
      <x:c r="E25" s="347" t="n">
        <x:f>-Valuation_Inputs!C27</x:f>
        <x:v>-3498</x:v>
      </x:c>
      <x:c r="F25" s="314"/>
      <x:c r="G25" s="314"/>
      <x:c r="H25" s="314"/>
      <x:c r="I25" s="314"/>
    </x:row>
    <x:row r="26" ht="24" customHeight="1">
      <x:c r="B26" s="344" t="str">
        <x:v>NET FINANCIAL / PRO-FORMA CASH ADJUSTMENT</x:v>
      </x:c>
      <x:c r="C26" s="346"/>
      <x:c r="D26" s="346"/>
      <x:c r="E26" s="376" t="n">
        <x:f>SUM(E20:E25)</x:f>
        <x:v>13018.889000000003</x:v>
      </x:c>
      <x:c r="F26" s="346"/>
      <x:c r="G26" s="346"/>
      <x:c r="H26" s="346"/>
      <x:c r="I26" s="346"/>
    </x:row>
    <x:row r="27" ht="20" customHeight="1">
      <x:c r="C27" s="314"/>
      <x:c r="D27" s="314"/>
      <x:c r="E27" s="314"/>
      <x:c r="F27" s="314"/>
      <x:c r="G27" s="314"/>
      <x:c r="H27" s="314"/>
      <x:c r="I27" s="314"/>
    </x:row>
    <x:row r="28" ht="24" customHeight="1">
      <x:c r="B28" s="363" t="str">
        <x:v>SOTP EQUITY VALUE  •  ₹ CRORE</x:v>
      </x:c>
      <x:c r="C28" s="365"/>
      <x:c r="D28" s="365"/>
      <x:c r="E28" s="373" t="n">
        <x:f>SUM(E17,E26)</x:f>
        <x:v>390948.89796000003</x:v>
      </x:c>
      <x:c r="F28" s="365"/>
      <x:c r="G28" s="365"/>
      <x:c r="H28" s="365"/>
      <x:c r="I28" s="365"/>
    </x:row>
    <x:row r="29" ht="20" customHeight="1">
      <x:c r="B29" t="str">
        <x:v>Diluted FY27E shares, crore</x:v>
      </x:c>
      <x:c r="C29" s="314"/>
      <x:c r="D29" s="314"/>
      <x:c r="E29" s="347" t="n">
        <x:f>Valuation_Inputs!C39</x:f>
        <x:v>1254</x:v>
      </x:c>
      <x:c r="F29" s="314"/>
      <x:c r="G29" s="314"/>
      <x:c r="H29" s="314"/>
      <x:c r="I29" s="314"/>
    </x:row>
    <x:row r="30" ht="24" customHeight="1">
      <x:c r="B30" s="363" t="str">
        <x:v>SOTP PER SHARE</x:v>
      </x:c>
      <x:c r="C30" s="365"/>
      <x:c r="D30" s="365"/>
      <x:c r="E30" s="380" t="n">
        <x:f>IFERROR(E28/E29,0)</x:f>
        <x:v>311.7614816267943</x:v>
      </x:c>
      <x:c r="F30" s="365"/>
      <x:c r="G30" s="365"/>
      <x:c r="H30" s="365"/>
      <x:c r="I30" s="365"/>
    </x:row>
    <x:row r="31" ht="20" customHeight="1">
      <x:c r="B31" t="str">
        <x:v>ITC market reference</x:v>
      </x:c>
      <x:c r="C31" s="314"/>
      <x:c r="D31" s="314"/>
      <x:c r="E31" s="381" t="n">
        <x:f>Valuation_Inputs!C7</x:f>
        <x:v>268.9</x:v>
      </x:c>
      <x:c r="F31" s="314"/>
      <x:c r="G31" s="314"/>
      <x:c r="H31" s="314"/>
      <x:c r="I31" s="314"/>
    </x:row>
    <x:row r="32" ht="20" customHeight="1">
      <x:c r="B32" t="str">
        <x:v>Difference to last completed session</x:v>
      </x:c>
      <x:c r="C32" s="314"/>
      <x:c r="D32" s="314"/>
      <x:c r="E32" s="338" t="n">
        <x:f>IFERROR(E30/E31-1,0)</x:f>
        <x:v>0.159395617801392</x:v>
      </x:c>
      <x:c r="F32" s="314"/>
      <x:c r="G32" s="314"/>
      <x:c r="H32" s="314"/>
      <x:c r="I32" s="314"/>
    </x:row>
    <x:row r="33" ht="20" customHeight="1">
      <x:c r="C33" s="314"/>
      <x:c r="D33" s="314"/>
      <x:c r="E33" s="314"/>
      <x:c r="F33" s="314"/>
      <x:c r="G33" s="314"/>
      <x:c r="H33" s="314"/>
      <x:c r="I33" s="314"/>
    </x:row>
    <x:row r="34" ht="20" customHeight="1">
      <x:c r="C34" s="314"/>
      <x:c r="D34" s="314"/>
      <x:c r="E34" s="314"/>
      <x:c r="F34" s="314"/>
      <x:c r="G34" s="314"/>
      <x:c r="H34" s="314"/>
      <x:c r="I34" s="314"/>
    </x:row>
    <x:row r="35" ht="44" customHeight="1">
      <x:c r="B35" s="352" t="str">
        <x:v>Multiples are deliberate analyst assumptions using trailing listed peer checks; segment PBIT × P/E is a rough earnings-value proxy, not a formal EV/EBITDA valuation. Changing them changes sensitivity; the market should not be assumed to price all units at their peer multiples.</x:v>
      </x:c>
      <x:c r="C35" s="353"/>
      <x:c r="D35" s="353"/>
      <x:c r="E35" s="353"/>
      <x:c r="F35" s="353"/>
      <x:c r="G35" s="353"/>
      <x:c r="H35" s="353"/>
      <x:c r="I35" s="353"/>
    </x:row>
    <x:row r="36" ht="46" customHeight="1">
      <x:c r="B36" s="352" t="str">
        <x:v>NO DOUBLE COUNT: The full FY26 non-current investment portfolio (₹19,409 crore) is NOT added. It contains strategic subsidiaries/associates already assessed in the group-only and Hotels lines. Cash/liquid securities are treated separately and discounted.</x:v>
      </x:c>
      <x:c r="C36" s="353"/>
      <x:c r="D36" s="353"/>
      <x:c r="E36" s="353"/>
      <x:c r="F36" s="353"/>
      <x:c r="G36" s="353"/>
      <x:c r="H36" s="353"/>
      <x:c r="I36" s="353"/>
    </x:row>
    <x:row r="37" ht="45" customHeight="1">
      <x:c r="B37" s="352" t="str">
        <x:v>CUT-OFF: FY26 liquid balances are the last fully audited standalone snapshot. Minus Century cash payout, but not a complete Sep quarter cash roll-forward. Happiest Minds proposal is not assumed closed or valued as a controlled subsidiary.</x:v>
      </x:c>
      <x:c r="C37" s="353"/>
      <x:c r="D37" s="353"/>
      <x:c r="E37" s="353"/>
      <x:c r="F37" s="353"/>
      <x:c r="G37" s="353"/>
      <x:c r="H37" s="353"/>
      <x:c r="I37" s="353"/>
    </x:row>
    <x:row r="38" ht="20" customHeight="1">
      <x:c r="C38" s="314"/>
      <x:c r="D38" s="314"/>
      <x:c r="E38" s="314"/>
      <x:c r="F38" s="314"/>
      <x:c r="G38" s="314"/>
      <x:c r="H38" s="314"/>
      <x:c r="I38" s="314"/>
    </x:row>
    <x:row r="39" ht="20" customHeight="1">
      <x:c r="C39" s="314"/>
      <x:c r="D39" s="314"/>
      <x:c r="E39" s="314"/>
      <x:c r="F39" s="314"/>
      <x:c r="G39" s="314"/>
      <x:c r="H39" s="314"/>
      <x:c r="I39" s="314"/>
    </x:row>
    <x:row r="40" ht="20" customHeight="1">
      <x:c r="C40" s="314"/>
      <x:c r="D40" s="314"/>
      <x:c r="E40" s="314"/>
      <x:c r="F40" s="314"/>
      <x:c r="G40" s="314"/>
      <x:c r="H40" s="314"/>
      <x:c r="I40" s="314"/>
    </x:row>
    <x:row r="41" ht="20" customHeight="1">
      <x:c r="C41" s="314"/>
      <x:c r="D41" s="314"/>
      <x:c r="E41" s="314"/>
      <x:c r="F41" s="314"/>
      <x:c r="G41" s="314"/>
      <x:c r="H41" s="314"/>
      <x:c r="I41" s="314"/>
    </x:row>
    <x:row r="42" ht="20" customHeight="1">
      <x:c r="C42" s="314"/>
      <x:c r="D42" s="314"/>
      <x:c r="E42" s="314"/>
      <x:c r="F42" s="314"/>
      <x:c r="G42" s="314"/>
      <x:c r="H42" s="314"/>
      <x:c r="I42" s="314"/>
    </x:row>
    <x:row r="43" ht="20" customHeight="1">
      <x:c r="C43" s="314"/>
      <x:c r="D43" s="314"/>
      <x:c r="E43" s="314"/>
      <x:c r="F43" s="314"/>
      <x:c r="G43" s="314"/>
      <x:c r="H43" s="314"/>
      <x:c r="I43" s="314"/>
    </x:row>
    <x:row r="44" ht="20" customHeight="1">
      <x:c r="C44" s="314"/>
      <x:c r="D44" s="314"/>
      <x:c r="E44" s="314"/>
      <x:c r="F44" s="314"/>
      <x:c r="G44" s="314"/>
      <x:c r="H44" s="314"/>
      <x:c r="I44" s="314"/>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14:I14"/>
    <x:mergeCell ref="B19:I19"/>
    <x:mergeCell ref="B35:I35"/>
    <x:mergeCell ref="B36:I36"/>
    <x:mergeCell ref="B37:I37"/>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3" hidden="0" customWidth="1"/>
    <x:col min="2" max="2" width="40" hidden="0" customWidth="1"/>
    <x:col min="3" max="3" width="20" hidden="0" customWidth="1"/>
    <x:col min="4" max="4" width="20" hidden="0" customWidth="1"/>
    <x:col min="5" max="5" width="20" hidden="0" customWidth="1"/>
    <x:col min="6" max="6" width="20" hidden="0" customWidth="1"/>
    <x:col min="7" max="7" width="17" hidden="0" customWidth="1"/>
    <x:col min="8" max="8" width="17" hidden="0" customWidth="1"/>
    <x:col min="9" max="9" width="17" hidden="0" customWidth="1"/>
  </x:cols>
  <x:sheetData>
    <x:row r="2" ht="35" customHeight="1">
      <x:c r="B2" s="317" t="str">
        <x:v>RELATIVE VALUATION  |  PEER WEIGHTED</x:v>
      </x:c>
      <x:c r="C2" s="317"/>
      <x:c r="D2" s="317"/>
      <x:c r="E2" s="317"/>
      <x:c r="F2" s="317"/>
      <x:c r="G2" s="317"/>
      <x:c r="H2" s="317"/>
      <x:c r="I2" s="317"/>
    </x:row>
    <x:row r="3" ht="26" customHeight="1">
      <x:c r="B3" s="319" t="str">
        <x:v>FY27 projected owner earnings × contribution-weighted listed peers’ trailing P/E, with a conservative manually assessed Agri / Other group.</x:v>
      </x:c>
      <x:c r="C3" s="319"/>
      <x:c r="D3" s="319"/>
      <x:c r="E3" s="319"/>
      <x:c r="F3" s="319"/>
      <x:c r="G3" s="319"/>
      <x:c r="H3" s="319"/>
      <x:c r="I3" s="319"/>
    </x:row>
    <x:row r="4" ht="24" customHeight="1">
      <x:c r="B4" s="323" t="str">
        <x:v>SEGMENT</x:v>
      </x:c>
      <x:c r="C4" s="322" t="str">
        <x:v>ADJUSTED PROFIT</x:v>
      </x:c>
      <x:c r="D4" s="322" t="str">
        <x:v>PROFIT WEIGHT</x:v>
      </x:c>
      <x:c r="E4" s="322" t="str">
        <x:v>PEER / APPLIED P/E</x:v>
      </x:c>
      <x:c r="F4" s="322" t="str">
        <x:v>WEIGHTED P/E</x:v>
      </x:c>
      <x:c r="G4" s="322" t="str"/>
      <x:c r="H4" s="322" t="str"/>
      <x:c r="I4" s="322" t="str"/>
    </x:row>
    <x:row r="5" ht="20" customHeight="1">
      <x:c r="C5" s="314"/>
      <x:c r="D5" s="314"/>
      <x:c r="E5" s="314"/>
      <x:c r="F5" s="314"/>
      <x:c r="G5" s="314"/>
      <x:c r="H5" s="314"/>
      <x:c r="I5" s="314"/>
    </x:row>
    <x:row r="6" ht="24" customHeight="1">
      <x:c r="B6" s="323" t="str">
        <x:v>EXCISE-ADJUSTED  •  AFTER-TAX PROFIT CONTRIBUTIONS FOR MULTIPLE WEIGHTING</x:v>
      </x:c>
      <x:c r="C6" s="326"/>
      <x:c r="D6" s="326"/>
      <x:c r="E6" s="326"/>
      <x:c r="F6" s="326"/>
      <x:c r="G6" s="326"/>
      <x:c r="H6" s="326"/>
      <x:c r="I6" s="326"/>
    </x:row>
    <x:row r="7" ht="20" customHeight="1">
      <x:c r="B7" t="str">
        <x:v>Cigarettes</x:v>
      </x:c>
      <x:c r="C7" s="347" t="n">
        <x:f>Segments!E21*(1-Valuation_Inputs!C19)</x:f>
        <x:v>10824.660696960002</x:v>
      </x:c>
      <x:c r="D7" s="338" t="n">
        <x:f>IFERROR(C7/SUM($C$7:$C$12),0)</x:f>
        <x:v>0.7235556043466967</x:v>
      </x:c>
      <x:c r="E7" s="355" t="n">
        <x:f>Peer_Snapshot!E17</x:f>
        <x:v>17.465</x:v>
      </x:c>
      <x:c r="F7" s="367" t="n">
        <x:f>D7*E7</x:f>
        <x:v>12.63689862991506</x:v>
      </x:c>
      <x:c r="G7" s="314"/>
      <x:c r="H7" s="314"/>
      <x:c r="I7" s="314"/>
    </x:row>
    <x:row r="8" ht="20" customHeight="1">
      <x:c r="B8" t="str">
        <x:v>FMCG — Others</x:v>
      </x:c>
      <x:c r="C8" s="347" t="n">
        <x:f>Segments!E22*(1-Valuation_Inputs!C19)</x:f>
        <x:v>1708.5740545500003</x:v>
      </x:c>
      <x:c r="D8" s="338" t="n">
        <x:f>IFERROR(C8/SUM($C$7:$C$12),0)</x:f>
        <x:v>0.11420665896328737</x:v>
      </x:c>
      <x:c r="E8" s="355" t="n">
        <x:f>Peer_Snapshot!E18</x:f>
        <x:v>43.73666666666667</x:v>
      </x:c>
      <x:c r="F8" s="367" t="n">
        <x:f>D8*E8</x:f>
        <x:v>4.995018574190979</x:v>
      </x:c>
      <x:c r="G8" s="314"/>
      <x:c r="H8" s="314"/>
      <x:c r="I8" s="314"/>
    </x:row>
    <x:row r="9" ht="20" customHeight="1">
      <x:c r="B9" t="str">
        <x:v>Agri Business</x:v>
      </x:c>
      <x:c r="C9" s="347" t="n">
        <x:f>Segments!E23*(1-Valuation_Inputs!C19)</x:f>
        <x:v>1094.60108912</x:v>
      </x:c>
      <x:c r="D9" s="338" t="n">
        <x:f>IFERROR(C9/SUM($C$7:$C$12),0)</x:f>
        <x:v>0.07316670468749203</x:v>
      </x:c>
      <x:c r="E9" s="355" t="n">
        <x:f>Peer_Snapshot!E21</x:f>
        <x:v>13</x:v>
      </x:c>
      <x:c r="F9" s="367" t="n">
        <x:f>D9*E9</x:f>
        <x:v>0.9511671609373964</x:v>
      </x:c>
      <x:c r="G9" s="314"/>
      <x:c r="H9" s="314"/>
      <x:c r="I9" s="314"/>
    </x:row>
    <x:row r="10" ht="20" customHeight="1">
      <x:c r="B10" t="str">
        <x:v>Paperboards / Century</x:v>
      </x:c>
      <x:c r="C10" s="347" t="n">
        <x:f>Segments!E24*(1-Valuation_Inputs!C19)</x:f>
        <x:v>585.73573542</x:v>
      </x:c>
      <x:c r="D10" s="338" t="n">
        <x:f>IFERROR(C10/SUM($C$7:$C$12),0)</x:f>
        <x:v>0.039152485781683524</x:v>
      </x:c>
      <x:c r="E10" s="355" t="n">
        <x:f>Peer_Snapshot!E19</x:f>
        <x:v>23.35</x:v>
      </x:c>
      <x:c r="F10" s="367" t="n">
        <x:f>D10*E10</x:f>
        <x:v>0.9142105430023103</x:v>
      </x:c>
      <x:c r="G10" s="314"/>
      <x:c r="H10" s="314"/>
      <x:c r="I10" s="314"/>
    </x:row>
    <x:row r="11" ht="20" customHeight="1">
      <x:c r="B11" t="str">
        <x:v>Other standalone</x:v>
      </x:c>
      <x:c r="C11" s="347" t="n">
        <x:f>MAX(0,Segments!E25*(1-Valuation_Inputs!C19))</x:f>
        <x:v>0</x:v>
      </x:c>
      <x:c r="D11" s="338" t="n">
        <x:f>IFERROR(C11/SUM($C$7:$C$12),0)</x:f>
        <x:v>0</x:v>
      </x:c>
      <x:c r="E11" s="355" t="n">
        <x:f>Peer_Snapshot!E22</x:f>
        <x:v>10</x:v>
      </x:c>
      <x:c r="F11" s="367" t="n">
        <x:f>D11*E11</x:f>
        <x:v>0</x:v>
      </x:c>
      <x:c r="G11" s="314"/>
      <x:c r="H11" s="314"/>
      <x:c r="I11" s="314"/>
    </x:row>
    <x:row r="12" ht="20" customHeight="1">
      <x:c r="B12" t="str">
        <x:v>Group-only businesses less minority</x:v>
      </x:c>
      <x:c r="C12" s="347" t="n">
        <x:f>SOTP!C15</x:f>
        <x:v>746.8</x:v>
      </x:c>
      <x:c r="D12" s="338" t="n">
        <x:f>IFERROR(C12/SUM($C$7:$C$12),0)</x:f>
        <x:v>0.04991854622084047</x:v>
      </x:c>
      <x:c r="E12" s="355" t="n">
        <x:f>Peer_Snapshot!E20</x:f>
        <x:v>28.765</x:v>
      </x:c>
      <x:c r="F12" s="367" t="n">
        <x:f>D12*E12</x:f>
        <x:v>1.4359069820424761</x:v>
      </x:c>
      <x:c r="G12" s="314"/>
      <x:c r="H12" s="314"/>
      <x:c r="I12" s="314"/>
    </x:row>
    <x:row r="13" ht="24" customHeight="1">
      <x:c r="B13" s="363" t="str">
        <x:v>WEIGHTED COMPARABLE MULTIPLE</x:v>
      </x:c>
      <x:c r="C13" s="365"/>
      <x:c r="D13" s="364" t="n">
        <x:f>SUM(D7:D12)</x:f>
        <x:v>1.0000000000000002</x:v>
      </x:c>
      <x:c r="E13" s="365"/>
      <x:c r="F13" s="386" t="n">
        <x:f>SUM(F7:F12)</x:f>
        <x:v>20.933201890088217</x:v>
      </x:c>
      <x:c r="G13" s="365"/>
      <x:c r="H13" s="365"/>
      <x:c r="I13" s="365"/>
    </x:row>
    <x:row r="14" ht="20" customHeight="1">
      <x:c r="C14" s="314"/>
      <x:c r="D14" s="314"/>
      <x:c r="E14" s="314"/>
      <x:c r="F14" s="314"/>
      <x:c r="G14" s="314"/>
      <x:c r="H14" s="314"/>
      <x:c r="I14" s="314"/>
    </x:row>
    <x:row r="15" ht="24" customHeight="1">
      <x:c r="B15" s="323" t="str">
        <x:v>LISTED-PEER EQUITY CROSS CHECK • NO SEPARATE HOTEL ADD-BACK</x:v>
      </x:c>
      <x:c r="C15" s="326"/>
      <x:c r="D15" s="326"/>
      <x:c r="E15" s="326"/>
      <x:c r="F15" s="326"/>
      <x:c r="G15" s="326"/>
      <x:c r="H15" s="326"/>
      <x:c r="I15" s="326"/>
    </x:row>
    <x:row r="16" ht="20" customHeight="1">
      <x:c r="B16" t="str">
        <x:v>FY27 estimated group PAT to owners</x:v>
      </x:c>
      <x:c r="C16" s="347" t="n">
        <x:f>Consolidated_Overlay!E20</x:f>
        <x:v>16447.33157605</x:v>
      </x:c>
      <x:c r="D16" s="314"/>
      <x:c r="E16" s="314"/>
      <x:c r="F16" s="314"/>
      <x:c r="G16" s="314"/>
      <x:c r="H16" s="314"/>
      <x:c r="I16" s="314"/>
    </x:row>
    <x:row r="17" ht="20" customHeight="1">
      <x:c r="B17" t="str">
        <x:v>FY27 diluted projected shares</x:v>
      </x:c>
      <x:c r="C17" s="347" t="n">
        <x:f>Valuation_Inputs!C39</x:f>
        <x:v>1254</x:v>
      </x:c>
      <x:c r="D17" s="314"/>
      <x:c r="E17" s="314"/>
      <x:c r="F17" s="314"/>
      <x:c r="G17" s="314"/>
      <x:c r="H17" s="314"/>
      <x:c r="I17" s="314"/>
    </x:row>
    <x:row r="18" ht="24" customHeight="1">
      <x:c r="B18" s="344" t="str">
        <x:v>FY27 projected owners EPS</x:v>
      </x:c>
      <x:c r="C18" s="389" t="n">
        <x:f>IFERROR(C16/C17,0)</x:f>
        <x:v>13.115894398763956</x:v>
      </x:c>
      <x:c r="D18" s="346"/>
      <x:c r="E18" s="346"/>
      <x:c r="F18" s="346"/>
      <x:c r="G18" s="346"/>
      <x:c r="H18" s="346"/>
      <x:c r="I18" s="346"/>
    </x:row>
    <x:row r="19" ht="24" customHeight="1">
      <x:c r="B19" s="344" t="str">
        <x:v>Weighted sector-relative P/E</x:v>
      </x:c>
      <x:c r="C19" s="370" t="n">
        <x:f>F13</x:f>
        <x:v>20.933201890088217</x:v>
      </x:c>
      <x:c r="D19" s="346"/>
      <x:c r="E19" s="346"/>
      <x:c r="F19" s="346"/>
      <x:c r="G19" s="346"/>
      <x:c r="H19" s="346"/>
      <x:c r="I19" s="346"/>
    </x:row>
    <x:row r="20" ht="24" customHeight="1">
      <x:c r="B20" s="363" t="str">
        <x:v>PEER-RELATIVE IMPLIED SHARE PRICE</x:v>
      </x:c>
      <x:c r="C20" s="380" t="n">
        <x:f>C18*C19</x:f>
        <x:v>274.5576654184031</x:v>
      </x:c>
      <x:c r="D20" s="365"/>
      <x:c r="E20" s="365"/>
      <x:c r="F20" s="365"/>
      <x:c r="G20" s="365"/>
      <x:c r="H20" s="365"/>
      <x:c r="I20" s="365"/>
    </x:row>
    <x:row r="21" ht="20" customHeight="1">
      <x:c r="B21" t="str">
        <x:v>ITC close as-of 25 Sep 2026</x:v>
      </x:c>
      <x:c r="C21" s="381" t="n">
        <x:f>Valuation_Inputs!C7</x:f>
        <x:v>268.9</x:v>
      </x:c>
      <x:c r="D21" s="314"/>
      <x:c r="E21" s="314"/>
      <x:c r="F21" s="314"/>
      <x:c r="G21" s="314"/>
      <x:c r="H21" s="314"/>
      <x:c r="I21" s="314"/>
    </x:row>
    <x:row r="22" ht="20" customHeight="1">
      <x:c r="B22" t="str">
        <x:v>Implied gap to quote</x:v>
      </x:c>
      <x:c r="C22" s="338" t="n">
        <x:f>IFERROR(C20/C21-1,0)</x:f>
        <x:v>0.021040035025671644</x:v>
      </x:c>
      <x:c r="D22" s="314"/>
      <x:c r="E22" s="314"/>
      <x:c r="F22" s="314"/>
      <x:c r="G22" s="314"/>
      <x:c r="H22" s="314"/>
      <x:c r="I22" s="314"/>
    </x:row>
    <x:row r="23" ht="20" customHeight="1">
      <x:c r="C23" s="314"/>
      <x:c r="D23" s="314"/>
      <x:c r="E23" s="314"/>
      <x:c r="F23" s="314"/>
      <x:c r="G23" s="314"/>
      <x:c r="H23" s="314"/>
      <x:c r="I23" s="314"/>
    </x:row>
    <x:row r="24" ht="24" customHeight="1">
      <x:c r="B24" s="344" t="str">
        <x:v>Implied market P/E on FY27 group owner EPS</x:v>
      </x:c>
      <x:c r="C24" s="370" t="n">
        <x:f>IFERROR(C21/C18,0)</x:f>
        <x:v>20.501842407738597</x:v>
      </x:c>
      <x:c r="D24" s="346"/>
      <x:c r="E24" s="346"/>
      <x:c r="F24" s="346"/>
      <x:c r="G24" s="346"/>
      <x:c r="H24" s="346"/>
      <x:c r="I24" s="346"/>
    </x:row>
    <x:row r="25" ht="20" customHeight="1">
      <x:c r="B25" t="str">
        <x:v>Peer assumption weighted towards cigarette profits</x:v>
      </x:c>
      <x:c r="C25" s="338" t="n">
        <x:f>IFERROR(D7,0)</x:f>
        <x:v>0.7235556043466967</x:v>
      </x:c>
      <x:c r="D25" s="314"/>
      <x:c r="E25" s="314"/>
      <x:c r="F25" s="314"/>
      <x:c r="G25" s="314"/>
      <x:c r="H25" s="314"/>
      <x:c r="I25" s="314"/>
    </x:row>
    <x:row r="26" ht="20" customHeight="1">
      <x:c r="C26" s="314"/>
      <x:c r="D26" s="314"/>
      <x:c r="E26" s="314"/>
      <x:c r="F26" s="314"/>
      <x:c r="G26" s="314"/>
      <x:c r="H26" s="314"/>
      <x:c r="I26" s="314"/>
    </x:row>
    <x:row r="27" ht="20" customHeight="1">
      <x:c r="C27" s="314"/>
      <x:c r="D27" s="314"/>
      <x:c r="E27" s="314"/>
      <x:c r="F27" s="314"/>
      <x:c r="G27" s="314"/>
      <x:c r="H27" s="314"/>
      <x:c r="I27" s="314"/>
    </x:row>
    <x:row r="28" ht="43" customHeight="1">
      <x:c r="B28" s="352" t="str">
        <x:v>This is a cross-check, not a forward-comparable consensus study: P/E multiples of peers are as of 25 Sep 2026 on trailing earnings; ITC multiple is applied to analyst FY27 group owner earnings. Mismatch makes sensitivity important.</x:v>
      </x:c>
      <x:c r="C28" s="353"/>
      <x:c r="D28" s="353"/>
      <x:c r="E28" s="353"/>
      <x:c r="F28" s="353"/>
      <x:c r="G28" s="353"/>
      <x:c r="H28" s="353"/>
      <x:c r="I28" s="353"/>
    </x:row>
    <x:row r="29" ht="43" customHeight="1">
      <x:c r="B29" s="352" t="str">
        <x:v>Because Group PAT already contains equity-accounted associate profits, this method does NOT add Hotels or cash again. In contrast, DCF and SOTP exclude investment/associate earnings from operating value before valuing non-operating holdings separately.</x:v>
      </x:c>
      <x:c r="C29" s="353"/>
      <x:c r="D29" s="353"/>
      <x:c r="E29" s="353"/>
      <x:c r="F29" s="353"/>
      <x:c r="G29" s="353"/>
      <x:c r="H29" s="353"/>
      <x:c r="I29" s="353"/>
    </x:row>
    <x:row r="30" ht="20" customHeight="1">
      <x:c r="C30" s="314"/>
      <x:c r="D30" s="314"/>
      <x:c r="E30" s="314"/>
      <x:c r="F30" s="314"/>
      <x:c r="G30" s="314"/>
      <x:c r="H30" s="314"/>
      <x:c r="I30" s="314"/>
    </x:row>
    <x:row r="31" ht="20" customHeight="1">
      <x:c r="C31" s="314"/>
      <x:c r="D31" s="314"/>
      <x:c r="E31" s="314"/>
      <x:c r="F31" s="314"/>
      <x:c r="G31" s="314"/>
      <x:c r="H31" s="314"/>
      <x:c r="I31" s="314"/>
    </x:row>
    <x:row r="32" ht="20" customHeight="1">
      <x:c r="C32" s="314"/>
      <x:c r="D32" s="314"/>
      <x:c r="E32" s="314"/>
      <x:c r="F32" s="314"/>
      <x:c r="G32" s="314"/>
      <x:c r="H32" s="314"/>
      <x:c r="I32" s="314"/>
    </x:row>
    <x:row r="33" ht="20" customHeight="1">
      <x:c r="C33" s="314"/>
      <x:c r="D33" s="314"/>
      <x:c r="E33" s="314"/>
      <x:c r="F33" s="314"/>
      <x:c r="G33" s="314"/>
      <x:c r="H33" s="314"/>
      <x:c r="I33" s="314"/>
    </x:row>
    <x:row r="34" ht="20" customHeight="1">
      <x:c r="C34" s="314"/>
      <x:c r="D34" s="314"/>
      <x:c r="E34" s="314"/>
      <x:c r="F34" s="314"/>
      <x:c r="G34" s="314"/>
      <x:c r="H34" s="314"/>
      <x:c r="I34" s="314"/>
    </x:row>
    <x:row r="35" ht="20" customHeight="1">
      <x:c r="C35" s="314"/>
      <x:c r="D35" s="314"/>
      <x:c r="E35" s="314"/>
      <x:c r="F35" s="314"/>
      <x:c r="G35" s="314"/>
      <x:c r="H35" s="314"/>
      <x:c r="I35" s="314"/>
    </x:row>
    <x:row r="36" ht="20" customHeight="1">
      <x:c r="C36" s="314"/>
      <x:c r="D36" s="314"/>
      <x:c r="E36" s="314"/>
      <x:c r="F36" s="314"/>
      <x:c r="G36" s="314"/>
      <x:c r="H36" s="314"/>
      <x:c r="I36" s="314"/>
    </x:row>
    <x:row r="37" ht="20" customHeight="1">
      <x:c r="C37" s="314"/>
      <x:c r="D37" s="314"/>
      <x:c r="E37" s="314"/>
      <x:c r="F37" s="314"/>
      <x:c r="G37" s="314"/>
      <x:c r="H37" s="314"/>
      <x:c r="I37" s="314"/>
    </x:row>
    <x:row r="38" ht="20" customHeight="1">
      <x:c r="C38" s="314"/>
      <x:c r="D38" s="314"/>
      <x:c r="E38" s="314"/>
      <x:c r="F38" s="314"/>
      <x:c r="G38" s="314"/>
      <x:c r="H38" s="314"/>
      <x:c r="I38" s="314"/>
    </x:row>
    <x:row r="39" ht="20" customHeight="1">
      <x:c r="C39" s="314"/>
      <x:c r="D39" s="314"/>
      <x:c r="E39" s="314"/>
      <x:c r="F39" s="314"/>
      <x:c r="G39" s="314"/>
      <x:c r="H39" s="314"/>
      <x:c r="I39" s="314"/>
    </x:row>
    <x:row r="40" ht="20" customHeight="1">
      <x:c r="C40" s="314"/>
      <x:c r="D40" s="314"/>
      <x:c r="E40" s="314"/>
      <x:c r="F40" s="314"/>
      <x:c r="G40" s="314"/>
      <x:c r="H40" s="314"/>
      <x:c r="I40" s="314"/>
    </x:row>
    <x:row r="41" ht="20" customHeight="1">
      <x:c r="C41" s="314"/>
      <x:c r="D41" s="314"/>
      <x:c r="E41" s="314"/>
      <x:c r="F41" s="314"/>
      <x:c r="G41" s="314"/>
      <x:c r="H41" s="314"/>
      <x:c r="I41" s="314"/>
    </x:row>
    <x:row r="42" ht="20" customHeight="1">
      <x:c r="C42" s="314"/>
      <x:c r="D42" s="314"/>
      <x:c r="E42" s="314"/>
      <x:c r="F42" s="314"/>
      <x:c r="G42" s="314"/>
      <x:c r="H42" s="314"/>
      <x:c r="I42" s="314"/>
    </x:row>
    <x:row r="43" ht="20" customHeight="1">
      <x:c r="C43" s="314"/>
      <x:c r="D43" s="314"/>
      <x:c r="E43" s="314"/>
      <x:c r="F43" s="314"/>
      <x:c r="G43" s="314"/>
      <x:c r="H43" s="314"/>
      <x:c r="I43" s="314"/>
    </x:row>
    <x:row r="44" ht="20" customHeight="1">
      <x:c r="C44" s="314"/>
      <x:c r="D44" s="314"/>
      <x:c r="E44" s="314"/>
      <x:c r="F44" s="314"/>
      <x:c r="G44" s="314"/>
      <x:c r="H44" s="314"/>
      <x:c r="I44" s="314"/>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15:I15"/>
    <x:mergeCell ref="B28:I28"/>
    <x:mergeCell ref="B29:I29"/>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3" hidden="0" customWidth="1"/>
    <x:col min="2" max="2" width="42" hidden="0" customWidth="1"/>
    <x:col min="3" max="3" width="19" hidden="0" customWidth="1"/>
    <x:col min="4" max="4" width="19"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s>
  <x:sheetData>
    <x:row r="2" ht="35" customHeight="1">
      <x:c r="B2" s="317" t="str">
        <x:v>VALUATION RANGES  |  SENSITIVITIES</x:v>
      </x:c>
      <x:c r="C2" s="317"/>
      <x:c r="D2" s="317"/>
      <x:c r="E2" s="317"/>
      <x:c r="F2" s="317"/>
      <x:c r="G2" s="317"/>
      <x:c r="H2" s="317"/>
      <x:c r="I2" s="317"/>
    </x:row>
    <x:row r="3" ht="26" customHeight="1">
      <x:c r="B3" s="319" t="str">
        <x:v>Tornado-type scenario matrices. All cells are live Excel formulas; adjust any forecast assumption or Read Me case to re-run.</x:v>
      </x:c>
      <x:c r="C3" s="319"/>
      <x:c r="D3" s="319"/>
      <x:c r="E3" s="319"/>
      <x:c r="F3" s="319"/>
      <x:c r="G3" s="319"/>
      <x:c r="H3" s="319"/>
      <x:c r="I3" s="319"/>
    </x:row>
    <x:row r="4" ht="24" customHeight="1">
      <x:c r="B4" s="323" t="str">
        <x:v>STRESS MATRIX</x:v>
      </x:c>
      <x:c r="C4" s="322" t="str">
        <x:v>LOWER</x:v>
      </x:c>
      <x:c r="D4" s="322" t="str">
        <x:v>BASE</x:v>
      </x:c>
      <x:c r="E4" s="322" t="str"/>
      <x:c r="F4" s="322" t="str"/>
      <x:c r="G4" s="322" t="str"/>
      <x:c r="H4" s="322" t="str"/>
      <x:c r="I4" s="322" t="str"/>
    </x:row>
    <x:row r="5" ht="20" customHeight="1">
      <x:c r="C5" s="314"/>
      <x:c r="D5" s="314"/>
      <x:c r="E5" s="314"/>
      <x:c r="F5" s="314"/>
      <x:c r="G5" s="314"/>
      <x:c r="H5" s="314"/>
      <x:c r="I5" s="314"/>
    </x:row>
    <x:row r="6" ht="24" customHeight="1">
      <x:c r="B6" s="323" t="str">
        <x:v>DCF PER SHARE  •  WACC ACROSS, TERMINAL GROWTH DOWN  •  ₹</x:v>
      </x:c>
      <x:c r="C6" s="326"/>
      <x:c r="D6" s="326"/>
      <x:c r="E6" s="326"/>
      <x:c r="F6" s="326"/>
      <x:c r="G6" s="326"/>
      <x:c r="H6" s="326"/>
      <x:c r="I6" s="326"/>
    </x:row>
    <x:row r="7" ht="22" customHeight="1">
      <x:c r="B7" t="str">
        <x:v>This matrix recomputes full PV and TV under each WACC/g pair; constant Hotels/subsidiary/net-assets bridge.</x:v>
      </x:c>
      <x:c r="C7" s="314"/>
      <x:c r="D7" s="314"/>
      <x:c r="E7" s="314"/>
      <x:c r="F7" s="314"/>
      <x:c r="G7" s="314"/>
      <x:c r="H7" s="314"/>
      <x:c r="I7" s="314"/>
    </x:row>
    <x:row r="8" ht="20" customHeight="1">
      <x:c r="C8" s="314"/>
      <x:c r="D8" s="314" t="str">
        <x:v>Long-run g ↓  /  WACC →</x:v>
      </x:c>
      <x:c r="E8" s="390" t="n">
        <x:f>Cost_Of_Capital!$C$20+(0-3)*0.005</x:f>
        <x:v>0.10581440999999998</x:v>
      </x:c>
      <x:c r="F8" s="390" t="n">
        <x:f>Cost_Of_Capital!$C$20+(1-3)*0.005</x:f>
        <x:v>0.11081440999999999</x:v>
      </x:c>
      <x:c r="G8" s="390" t="n">
        <x:f>Cost_Of_Capital!$C$20+(2-3)*0.005</x:f>
        <x:v>0.11581440999999998</x:v>
      </x:c>
      <x:c r="H8" s="390" t="n">
        <x:f>Cost_Of_Capital!$C$20+(3-3)*0.005</x:f>
        <x:v>0.12081440999999998</x:v>
      </x:c>
      <x:c r="I8" s="390" t="n">
        <x:f>Cost_Of_Capital!$C$20+(4-3)*0.005</x:f>
        <x:v>0.12581441</x:v>
      </x:c>
      <x:c r="J8" s="392" t="n">
        <x:f>Cost_Of_Capital!$C$20+(5-3)*0.005</x:f>
        <x:v>0.13081441</x:v>
      </x:c>
      <x:c r="K8" s="392" t="n">
        <x:f>Cost_Of_Capital!$C$20+(6-3)*0.005</x:f>
        <x:v>0.13581441</x:v>
      </x:c>
    </x:row>
    <x:row r="9" ht="20" customHeight="1">
      <x:c r="C9" s="314"/>
      <x:c r="D9" s="390" t="n">
        <x:f>Cost_Of_Capital!$C$21+(0-3)*0.005</x:f>
        <x:v>0.025</x:v>
      </x:c>
      <x:c r="E9" s="381" t="n">
        <x:f>IF(E$8&lt;=$D9,0,((DCF!$E$16/(1+E$8)^DCF!$E$17)+(DCF!$F$16/(1+E$8)^DCF!$F$17)+(DCF!$G$16/(1+E$8)^DCF!$G$17)+(DCF!$H$16/(1+E$8)^DCF!$H$17)+(DCF!$I$16/(1+E$8)^DCF!$I$17)+(DCF!$I$14*(1+$D9)/(E$8-$D9)/(1+E$8)^DCF!$I$17)+SOTP!$E$15+SOTP!$E$16+SOTP!$E$26)/Valuation_Inputs!$C$39)</x:f>
        <x:v>189.59420193490877</x:v>
      </x:c>
      <x:c r="F9" s="381" t="n">
        <x:f>IF(F$8&lt;=$D9,0,((DCF!$E$16/(1+F$8)^DCF!$E$17)+(DCF!$F$16/(1+F$8)^DCF!$F$17)+(DCF!$G$16/(1+F$8)^DCF!$G$17)+(DCF!$H$16/(1+F$8)^DCF!$H$17)+(DCF!$I$16/(1+F$8)^DCF!$I$17)+(DCF!$I$14*(1+$D9)/(F$8-$D9)/(1+F$8)^DCF!$I$17)+SOTP!$E$15+SOTP!$E$16+SOTP!$E$26)/Valuation_Inputs!$C$39)</x:f>
        <x:v>180.29551052035626</x:v>
      </x:c>
      <x:c r="G9" s="381" t="n">
        <x:f>IF(G$8&lt;=$D9,0,((DCF!$E$16/(1+G$8)^DCF!$E$17)+(DCF!$F$16/(1+G$8)^DCF!$F$17)+(DCF!$G$16/(1+G$8)^DCF!$G$17)+(DCF!$H$16/(1+G$8)^DCF!$H$17)+(DCF!$I$16/(1+G$8)^DCF!$I$17)+(DCF!$I$14*(1+$D9)/(G$8-$D9)/(1+G$8)^DCF!$I$17)+SOTP!$E$15+SOTP!$E$16+SOTP!$E$26)/Valuation_Inputs!$C$39)</x:f>
        <x:v>172.02486500307765</x:v>
      </x:c>
      <x:c r="H9" s="381" t="n">
        <x:f>IF(H$8&lt;=$D9,0,((DCF!$E$16/(1+H$8)^DCF!$E$17)+(DCF!$F$16/(1+H$8)^DCF!$F$17)+(DCF!$G$16/(1+H$8)^DCF!$G$17)+(DCF!$H$16/(1+H$8)^DCF!$H$17)+(DCF!$I$16/(1+H$8)^DCF!$I$17)+(DCF!$I$14*(1+$D9)/(H$8-$D9)/(1+H$8)^DCF!$I$17)+SOTP!$E$15+SOTP!$E$16+SOTP!$E$26)/Valuation_Inputs!$C$39)</x:f>
        <x:v>164.62124129529192</x:v>
      </x:c>
      <x:c r="I9" s="381" t="n">
        <x:f>IF(I$8&lt;=$D9,0,((DCF!$E$16/(1+I$8)^DCF!$E$17)+(DCF!$F$16/(1+I$8)^DCF!$F$17)+(DCF!$G$16/(1+I$8)^DCF!$G$17)+(DCF!$H$16/(1+I$8)^DCF!$H$17)+(DCF!$I$16/(1+I$8)^DCF!$I$17)+(DCF!$I$14*(1+$D9)/(I$8-$D9)/(1+I$8)^DCF!$I$17)+SOTP!$E$15+SOTP!$E$16+SOTP!$E$26)/Valuation_Inputs!$C$39)</x:f>
        <x:v>157.9555619372445</x:v>
      </x:c>
      <x:c r="J9" s="393" t="n">
        <x:f>IF(J$8&lt;=$D9,0,((DCF!$E$16/(1+J$8)^DCF!$E$17)+(DCF!$F$16/(1+J$8)^DCF!$F$17)+(DCF!$G$16/(1+J$8)^DCF!$G$17)+(DCF!$H$16/(1+J$8)^DCF!$H$17)+(DCF!$I$16/(1+J$8)^DCF!$I$17)+(DCF!$I$14*(1+$D9)/(J$8-$D9)/(1+J$8)^DCF!$I$17)+SOTP!$E$15+SOTP!$E$16+SOTP!$E$26)/Valuation_Inputs!$C$39)</x:f>
        <x:v>151.92314824269897</x:v>
      </x:c>
      <x:c r="K9" s="393" t="n">
        <x:f>IF(K$8&lt;=$D9,0,((DCF!$E$16/(1+K$8)^DCF!$E$17)+(DCF!$F$16/(1+K$8)^DCF!$F$17)+(DCF!$G$16/(1+K$8)^DCF!$G$17)+(DCF!$H$16/(1+K$8)^DCF!$H$17)+(DCF!$I$16/(1+K$8)^DCF!$I$17)+(DCF!$I$14*(1+$D9)/(K$8-$D9)/(1+K$8)^DCF!$I$17)+SOTP!$E$15+SOTP!$E$16+SOTP!$E$26)/Valuation_Inputs!$C$39)</x:f>
        <x:v>146.43821582352498</x:v>
      </x:c>
    </x:row>
    <x:row r="10" ht="20" customHeight="1">
      <x:c r="C10" s="314"/>
      <x:c r="D10" s="390" t="n">
        <x:f>Cost_Of_Capital!$C$21+(1-3)*0.005</x:f>
        <x:v>0.03</x:v>
      </x:c>
      <x:c r="E10" s="381" t="n">
        <x:f>IF(E$8&lt;=$D10,0,((DCF!$E$16/(1+E$8)^DCF!$E$17)+(DCF!$F$16/(1+E$8)^DCF!$F$17)+(DCF!$G$16/(1+E$8)^DCF!$G$17)+(DCF!$H$16/(1+E$8)^DCF!$H$17)+(DCF!$I$16/(1+E$8)^DCF!$I$17)+(DCF!$I$14*(1+$D10)/(E$8-$D10)/(1+E$8)^DCF!$I$17)+SOTP!$E$15+SOTP!$E$16+SOTP!$E$26)/Valuation_Inputs!$C$39)</x:f>
        <x:v>197.70138317456465</x:v>
      </x:c>
      <x:c r="F10" s="381" t="n">
        <x:f>IF(F$8&lt;=$D10,0,((DCF!$E$16/(1+F$8)^DCF!$E$17)+(DCF!$F$16/(1+F$8)^DCF!$F$17)+(DCF!$G$16/(1+F$8)^DCF!$G$17)+(DCF!$H$16/(1+F$8)^DCF!$H$17)+(DCF!$I$16/(1+F$8)^DCF!$I$17)+(DCF!$I$14*(1+$D10)/(F$8-$D10)/(1+F$8)^DCF!$I$17)+SOTP!$E$15+SOTP!$E$16+SOTP!$E$26)/Valuation_Inputs!$C$39)</x:f>
        <x:v>187.34575229604496</x:v>
      </x:c>
      <x:c r="G10" s="381" t="n">
        <x:f>IF(G$8&lt;=$D10,0,((DCF!$E$16/(1+G$8)^DCF!$E$17)+(DCF!$F$16/(1+G$8)^DCF!$F$17)+(DCF!$G$16/(1+G$8)^DCF!$G$17)+(DCF!$H$16/(1+G$8)^DCF!$H$17)+(DCF!$I$16/(1+G$8)^DCF!$I$17)+(DCF!$I$14*(1+$D10)/(G$8-$D10)/(1+G$8)^DCF!$I$17)+SOTP!$E$15+SOTP!$E$16+SOTP!$E$26)/Valuation_Inputs!$C$39)</x:f>
        <x:v>178.20092404112486</x:v>
      </x:c>
      <x:c r="H10" s="381" t="n">
        <x:f>IF(H$8&lt;=$D10,0,((DCF!$E$16/(1+H$8)^DCF!$E$17)+(DCF!$F$16/(1+H$8)^DCF!$F$17)+(DCF!$G$16/(1+H$8)^DCF!$G$17)+(DCF!$H$16/(1+H$8)^DCF!$H$17)+(DCF!$I$16/(1+H$8)^DCF!$I$17)+(DCF!$I$14*(1+$D10)/(H$8-$D10)/(1+H$8)^DCF!$I$17)+SOTP!$E$15+SOTP!$E$16+SOTP!$E$26)/Valuation_Inputs!$C$39)</x:f>
        <x:v>170.0668287797134</x:v>
      </x:c>
      <x:c r="I10" s="381" t="n">
        <x:f>IF(I$8&lt;=$D10,0,((DCF!$E$16/(1+I$8)^DCF!$E$17)+(DCF!$F$16/(1+I$8)^DCF!$F$17)+(DCF!$G$16/(1+I$8)^DCF!$G$17)+(DCF!$H$16/(1+I$8)^DCF!$H$17)+(DCF!$I$16/(1+I$8)^DCF!$I$17)+(DCF!$I$14*(1+$D10)/(I$8-$D10)/(1+I$8)^DCF!$I$17)+SOTP!$E$15+SOTP!$E$16+SOTP!$E$26)/Valuation_Inputs!$C$39)</x:f>
        <x:v>162.78516070507055</x:v>
      </x:c>
      <x:c r="J10" s="393" t="n">
        <x:f>IF(J$8&lt;=$D10,0,((DCF!$E$16/(1+J$8)^DCF!$E$17)+(DCF!$F$16/(1+J$8)^DCF!$F$17)+(DCF!$G$16/(1+J$8)^DCF!$G$17)+(DCF!$H$16/(1+J$8)^DCF!$H$17)+(DCF!$I$16/(1+J$8)^DCF!$I$17)+(DCF!$I$14*(1+$D10)/(J$8-$D10)/(1+J$8)^DCF!$I$17)+SOTP!$E$15+SOTP!$E$16+SOTP!$E$26)/Valuation_Inputs!$C$39)</x:f>
        <x:v>156.2290211677232</x:v>
      </x:c>
      <x:c r="K10" s="393" t="n">
        <x:f>IF(K$8&lt;=$D10,0,((DCF!$E$16/(1+K$8)^DCF!$E$17)+(DCF!$F$16/(1+K$8)^DCF!$F$17)+(DCF!$G$16/(1+K$8)^DCF!$G$17)+(DCF!$H$16/(1+K$8)^DCF!$H$17)+(DCF!$I$16/(1+K$8)^DCF!$I$17)+(DCF!$I$14*(1+$D10)/(K$8-$D10)/(1+K$8)^DCF!$I$17)+SOTP!$E$15+SOTP!$E$16+SOTP!$E$26)/Valuation_Inputs!$C$39)</x:f>
        <x:v>150.29549828412206</x:v>
      </x:c>
    </x:row>
    <x:row r="11" ht="20" customHeight="1">
      <x:c r="C11" s="314"/>
      <x:c r="D11" s="390" t="n">
        <x:f>Cost_Of_Capital!$C$21+(2-3)*0.005</x:f>
        <x:v>0.035</x:v>
      </x:c>
      <x:c r="E11" s="381" t="n">
        <x:f>IF(E$8&lt;=$D11,0,((DCF!$E$16/(1+E$8)^DCF!$E$17)+(DCF!$F$16/(1+E$8)^DCF!$F$17)+(DCF!$G$16/(1+E$8)^DCF!$G$17)+(DCF!$H$16/(1+E$8)^DCF!$H$17)+(DCF!$I$16/(1+E$8)^DCF!$I$17)+(DCF!$I$14*(1+$D11)/(E$8-$D11)/(1+E$8)^DCF!$I$17)+SOTP!$E$15+SOTP!$E$16+SOTP!$E$26)/Valuation_Inputs!$C$39)</x:f>
        <x:v>206.95341349785417</x:v>
      </x:c>
      <x:c r="F11" s="381" t="n">
        <x:f>IF(F$8&lt;=$D11,0,((DCF!$E$16/(1+F$8)^DCF!$E$17)+(DCF!$F$16/(1+F$8)^DCF!$F$17)+(DCF!$G$16/(1+F$8)^DCF!$G$17)+(DCF!$H$16/(1+F$8)^DCF!$H$17)+(DCF!$I$16/(1+F$8)^DCF!$I$17)+(DCF!$I$14*(1+$D11)/(F$8-$D11)/(1+F$8)^DCF!$I$17)+SOTP!$E$15+SOTP!$E$16+SOTP!$E$26)/Valuation_Inputs!$C$39)</x:f>
        <x:v>195.32592833827857</x:v>
      </x:c>
      <x:c r="G11" s="381" t="n">
        <x:f>IF(G$8&lt;=$D11,0,((DCF!$E$16/(1+G$8)^DCF!$E$17)+(DCF!$F$16/(1+G$8)^DCF!$F$17)+(DCF!$G$16/(1+G$8)^DCF!$G$17)+(DCF!$H$16/(1+G$8)^DCF!$H$17)+(DCF!$I$16/(1+G$8)^DCF!$I$17)+(DCF!$I$14*(1+$D11)/(G$8-$D11)/(1+G$8)^DCF!$I$17)+SOTP!$E$15+SOTP!$E$16+SOTP!$E$26)/Valuation_Inputs!$C$39)</x:f>
        <x:v>185.1412105279708</x:v>
      </x:c>
      <x:c r="H11" s="381" t="n">
        <x:f>IF(H$8&lt;=$D11,0,((DCF!$E$16/(1+H$8)^DCF!$E$17)+(DCF!$F$16/(1+H$8)^DCF!$F$17)+(DCF!$G$16/(1+H$8)^DCF!$G$17)+(DCF!$H$16/(1+H$8)^DCF!$H$17)+(DCF!$I$16/(1+H$8)^DCF!$I$17)+(DCF!$I$14*(1+$D11)/(H$8-$D11)/(1+H$8)^DCF!$I$17)+SOTP!$E$15+SOTP!$E$16+SOTP!$E$26)/Valuation_Inputs!$C$39)</x:f>
        <x:v>176.14699354368753</x:v>
      </x:c>
      <x:c r="I11" s="381" t="n">
        <x:f>IF(I$8&lt;=$D11,0,((DCF!$E$16/(1+I$8)^DCF!$E$17)+(DCF!$F$16/(1+I$8)^DCF!$F$17)+(DCF!$G$16/(1+I$8)^DCF!$G$17)+(DCF!$H$16/(1+I$8)^DCF!$H$17)+(DCF!$I$16/(1+I$8)^DCF!$I$17)+(DCF!$I$14*(1+$D11)/(I$8-$D11)/(1+I$8)^DCF!$I$17)+SOTP!$E$15+SOTP!$E$16+SOTP!$E$26)/Valuation_Inputs!$C$39)</x:f>
        <x:v>168.14656921188254</x:v>
      </x:c>
      <x:c r="J11" s="393" t="n">
        <x:f>IF(J$8&lt;=$D11,0,((DCF!$E$16/(1+J$8)^DCF!$E$17)+(DCF!$F$16/(1+J$8)^DCF!$F$17)+(DCF!$G$16/(1+J$8)^DCF!$G$17)+(DCF!$H$16/(1+J$8)^DCF!$H$17)+(DCF!$I$16/(1+J$8)^DCF!$I$17)+(DCF!$I$14*(1+$D11)/(J$8-$D11)/(1+J$8)^DCF!$I$17)+SOTP!$E$15+SOTP!$E$16+SOTP!$E$26)/Valuation_Inputs!$C$39)</x:f>
        <x:v>160.9842913102458</x:v>
      </x:c>
      <x:c r="K11" s="393" t="n">
        <x:f>IF(K$8&lt;=$D11,0,((DCF!$E$16/(1+K$8)^DCF!$E$17)+(DCF!$F$16/(1+K$8)^DCF!$F$17)+(DCF!$G$16/(1+K$8)^DCF!$G$17)+(DCF!$H$16/(1+K$8)^DCF!$H$17)+(DCF!$I$16/(1+K$8)^DCF!$I$17)+(DCF!$I$14*(1+$D11)/(K$8-$D11)/(1+K$8)^DCF!$I$17)+SOTP!$E$15+SOTP!$E$16+SOTP!$E$26)/Valuation_Inputs!$C$39)</x:f>
        <x:v>154.53539295864738</x:v>
      </x:c>
    </x:row>
    <x:row r="12" ht="20" customHeight="1">
      <x:c r="C12" s="314"/>
      <x:c r="D12" s="390" t="n">
        <x:f>Cost_Of_Capital!$C$21+(3-3)*0.005</x:f>
        <x:v>0.04</x:v>
      </x:c>
      <x:c r="E12" s="381" t="n">
        <x:f>IF(E$8&lt;=$D12,0,((DCF!$E$16/(1+E$8)^DCF!$E$17)+(DCF!$F$16/(1+E$8)^DCF!$F$17)+(DCF!$G$16/(1+E$8)^DCF!$G$17)+(DCF!$H$16/(1+E$8)^DCF!$H$17)+(DCF!$I$16/(1+E$8)^DCF!$I$17)+(DCF!$I$14*(1+$D12)/(E$8-$D12)/(1+E$8)^DCF!$I$17)+SOTP!$E$15+SOTP!$E$16+SOTP!$E$26)/Valuation_Inputs!$C$39)</x:f>
        <x:v>217.61121959628014</x:v>
      </x:c>
      <x:c r="F12" s="381" t="n">
        <x:f>IF(F$8&lt;=$D12,0,((DCF!$E$16/(1+F$8)^DCF!$E$17)+(DCF!$F$16/(1+F$8)^DCF!$F$17)+(DCF!$G$16/(1+F$8)^DCF!$G$17)+(DCF!$H$16/(1+F$8)^DCF!$H$17)+(DCF!$I$16/(1+F$8)^DCF!$I$17)+(DCF!$I$14*(1+$D12)/(F$8-$D12)/(1+F$8)^DCF!$I$17)+SOTP!$E$15+SOTP!$E$16+SOTP!$E$26)/Valuation_Inputs!$C$39)</x:f>
        <x:v>204.43301852725628</x:v>
      </x:c>
      <x:c r="G12" s="381" t="n">
        <x:f>IF(G$8&lt;=$D12,0,((DCF!$E$16/(1+G$8)^DCF!$E$17)+(DCF!$F$16/(1+G$8)^DCF!$F$17)+(DCF!$G$16/(1+G$8)^DCF!$G$17)+(DCF!$H$16/(1+G$8)^DCF!$H$17)+(DCF!$I$16/(1+G$8)^DCF!$I$17)+(DCF!$I$14*(1+$D12)/(G$8-$D12)/(1+G$8)^DCF!$I$17)+SOTP!$E$15+SOTP!$E$16+SOTP!$E$26)/Valuation_Inputs!$C$39)</x:f>
        <x:v>192.9969280637223</x:v>
      </x:c>
      <x:c r="H12" s="395" t="n">
        <x:f>IF(H$8&lt;=$D12,0,((DCF!$E$16/(1+H$8)^DCF!$E$17)+(DCF!$F$16/(1+H$8)^DCF!$F$17)+(DCF!$G$16/(1+H$8)^DCF!$G$17)+(DCF!$H$16/(1+H$8)^DCF!$H$17)+(DCF!$I$16/(1+H$8)^DCF!$I$17)+(DCF!$I$14*(1+$D12)/(H$8-$D12)/(1+H$8)^DCF!$I$17)+SOTP!$E$15+SOTP!$E$16+SOTP!$E$26)/Valuation_Inputs!$C$39)</x:f>
        <x:v>182.9795197694324</x:v>
      </x:c>
      <x:c r="I12" s="381" t="n">
        <x:f>IF(I$8&lt;=$D12,0,((DCF!$E$16/(1+I$8)^DCF!$E$17)+(DCF!$F$16/(1+I$8)^DCF!$F$17)+(DCF!$G$16/(1+I$8)^DCF!$G$17)+(DCF!$H$16/(1+I$8)^DCF!$H$17)+(DCF!$I$16/(1+I$8)^DCF!$I$17)+(DCF!$I$14*(1+$D12)/(I$8-$D12)/(1+I$8)^DCF!$I$17)+SOTP!$E$15+SOTP!$E$16+SOTP!$E$26)/Valuation_Inputs!$C$39)</x:f>
        <x:v>174.13274557607556</x:v>
      </x:c>
      <x:c r="J12" s="393" t="n">
        <x:f>IF(J$8&lt;=$D12,0,((DCF!$E$16/(1+J$8)^DCF!$E$17)+(DCF!$F$16/(1+J$8)^DCF!$F$17)+(DCF!$G$16/(1+J$8)^DCF!$G$17)+(DCF!$H$16/(1+J$8)^DCF!$H$17)+(DCF!$I$16/(1+J$8)^DCF!$I$17)+(DCF!$I$14*(1+$D12)/(J$8-$D12)/(1+J$8)^DCF!$I$17)+SOTP!$E$15+SOTP!$E$16+SOTP!$E$26)/Valuation_Inputs!$C$39)</x:f>
        <x:v>166.26318651871574</x:v>
      </x:c>
      <x:c r="K12" s="393" t="n">
        <x:f>IF(K$8&lt;=$D12,0,((DCF!$E$16/(1+K$8)^DCF!$E$17)+(DCF!$F$16/(1+K$8)^DCF!$F$17)+(DCF!$G$16/(1+K$8)^DCF!$G$17)+(DCF!$H$16/(1+K$8)^DCF!$H$17)+(DCF!$I$16/(1+K$8)^DCF!$I$17)+(DCF!$I$14*(1+$D12)/(K$8-$D12)/(1+K$8)^DCF!$I$17)+SOTP!$E$15+SOTP!$E$16+SOTP!$E$26)/Valuation_Inputs!$C$39)</x:f>
        <x:v>159.21779880393765</x:v>
      </x:c>
    </x:row>
    <x:row r="13" ht="20" customHeight="1">
      <x:c r="C13" s="314"/>
      <x:c r="D13" s="390" t="n">
        <x:f>Cost_Of_Capital!$C$21+(4-3)*0.005</x:f>
        <x:v>0.045</x:v>
      </x:c>
      <x:c r="E13" s="381" t="n">
        <x:f>IF(E$8&lt;=$D13,0,((DCF!$E$16/(1+E$8)^DCF!$E$17)+(DCF!$F$16/(1+E$8)^DCF!$F$17)+(DCF!$G$16/(1+E$8)^DCF!$G$17)+(DCF!$H$16/(1+E$8)^DCF!$H$17)+(DCF!$I$16/(1+E$8)^DCF!$I$17)+(DCF!$I$14*(1+$D13)/(E$8-$D13)/(1+E$8)^DCF!$I$17)+SOTP!$E$15+SOTP!$E$16+SOTP!$E$26)/Valuation_Inputs!$C$39)</x:f>
        <x:v>230.02153897213918</x:v>
      </x:c>
      <x:c r="F13" s="381" t="n">
        <x:f>IF(F$8&lt;=$D13,0,((DCF!$E$16/(1+F$8)^DCF!$E$17)+(DCF!$F$16/(1+F$8)^DCF!$F$17)+(DCF!$G$16/(1+F$8)^DCF!$G$17)+(DCF!$H$16/(1+F$8)^DCF!$H$17)+(DCF!$I$16/(1+F$8)^DCF!$I$17)+(DCF!$I$14*(1+$D13)/(F$8-$D13)/(1+F$8)^DCF!$I$17)+SOTP!$E$15+SOTP!$E$16+SOTP!$E$26)/Valuation_Inputs!$C$39)</x:f>
        <x:v>214.92386193820738</x:v>
      </x:c>
      <x:c r="G13" s="381" t="n">
        <x:f>IF(G$8&lt;=$D13,0,((DCF!$E$16/(1+G$8)^DCF!$E$17)+(DCF!$F$16/(1+G$8)^DCF!$F$17)+(DCF!$G$16/(1+G$8)^DCF!$G$17)+(DCF!$H$16/(1+G$8)^DCF!$H$17)+(DCF!$I$16/(1+G$8)^DCF!$I$17)+(DCF!$I$14*(1+$D13)/(G$8-$D13)/(1+G$8)^DCF!$I$17)+SOTP!$E$15+SOTP!$E$16+SOTP!$E$26)/Valuation_Inputs!$C$39)</x:f>
        <x:v>201.96198443824284</x:v>
      </x:c>
      <x:c r="H13" s="381" t="n">
        <x:f>IF(H$8&lt;=$D13,0,((DCF!$E$16/(1+H$8)^DCF!$E$17)+(DCF!$F$16/(1+H$8)^DCF!$F$17)+(DCF!$G$16/(1+H$8)^DCF!$G$17)+(DCF!$H$16/(1+H$8)^DCF!$H$17)+(DCF!$I$16/(1+H$8)^DCF!$I$17)+(DCF!$I$14*(1+$D13)/(H$8-$D13)/(1+H$8)^DCF!$I$17)+SOTP!$E$15+SOTP!$E$16+SOTP!$E$26)/Valuation_Inputs!$C$39)</x:f>
        <x:v>190.7132633528992</x:v>
      </x:c>
      <x:c r="I13" s="381" t="n">
        <x:f>IF(I$8&lt;=$D13,0,((DCF!$E$16/(1+I$8)^DCF!$E$17)+(DCF!$F$16/(1+I$8)^DCF!$F$17)+(DCF!$G$16/(1+I$8)^DCF!$G$17)+(DCF!$H$16/(1+I$8)^DCF!$H$17)+(DCF!$I$16/(1+I$8)^DCF!$I$17)+(DCF!$I$14*(1+$D13)/(I$8-$D13)/(1+I$8)^DCF!$I$17)+SOTP!$E$15+SOTP!$E$16+SOTP!$E$26)/Valuation_Inputs!$C$39)</x:f>
        <x:v>180.85965324848365</x:v>
      </x:c>
      <x:c r="J13" s="393" t="n">
        <x:f>IF(J$8&lt;=$D13,0,((DCF!$E$16/(1+J$8)^DCF!$E$17)+(DCF!$F$16/(1+J$8)^DCF!$F$17)+(DCF!$G$16/(1+J$8)^DCF!$G$17)+(DCF!$H$16/(1+J$8)^DCF!$H$17)+(DCF!$I$16/(1+J$8)^DCF!$I$17)+(DCF!$I$14*(1+$D13)/(J$8-$D13)/(1+J$8)^DCF!$I$17)+SOTP!$E$15+SOTP!$E$16+SOTP!$E$26)/Valuation_Inputs!$C$39)</x:f>
        <x:v>172.15723426490865</x:v>
      </x:c>
      <x:c r="K13" s="393" t="n">
        <x:f>IF(K$8&lt;=$D13,0,((DCF!$E$16/(1+K$8)^DCF!$E$17)+(DCF!$F$16/(1+K$8)^DCF!$F$17)+(DCF!$G$16/(1+K$8)^DCF!$G$17)+(DCF!$H$16/(1+K$8)^DCF!$H$17)+(DCF!$I$16/(1+K$8)^DCF!$I$17)+(DCF!$I$14*(1+$D13)/(K$8-$D13)/(1+K$8)^DCF!$I$17)+SOTP!$E$15+SOTP!$E$16+SOTP!$E$26)/Valuation_Inputs!$C$39)</x:f>
        <x:v>164.4158062861587</x:v>
      </x:c>
    </x:row>
    <x:row r="14" ht="20" customHeight="1">
      <x:c r="C14" s="314"/>
      <x:c r="D14" s="390" t="n">
        <x:f>Cost_Of_Capital!$C$21+(5-3)*0.005</x:f>
        <x:v>0.05</x:v>
      </x:c>
      <x:c r="E14" s="381" t="n">
        <x:f>IF(E$8&lt;=$D14,0,((DCF!$E$16/(1+E$8)^DCF!$E$17)+(DCF!$F$16/(1+E$8)^DCF!$F$17)+(DCF!$G$16/(1+E$8)^DCF!$G$17)+(DCF!$H$16/(1+E$8)^DCF!$H$17)+(DCF!$I$16/(1+E$8)^DCF!$I$17)+(DCF!$I$14*(1+$D14)/(E$8-$D14)/(1+E$8)^DCF!$I$17)+SOTP!$E$15+SOTP!$E$16+SOTP!$E$26)/Valuation_Inputs!$C$39)</x:f>
        <x:v>244.6553557164841</x:v>
      </x:c>
      <x:c r="F14" s="381" t="n">
        <x:f>IF(F$8&lt;=$D14,0,((DCF!$E$16/(1+F$8)^DCF!$E$17)+(DCF!$F$16/(1+F$8)^DCF!$F$17)+(DCF!$G$16/(1+F$8)^DCF!$G$17)+(DCF!$H$16/(1+F$8)^DCF!$H$17)+(DCF!$I$16/(1+F$8)^DCF!$I$17)+(DCF!$I$14*(1+$D14)/(F$8-$D14)/(1+F$8)^DCF!$I$17)+SOTP!$E$15+SOTP!$E$16+SOTP!$E$26)/Valuation_Inputs!$C$39)</x:f>
        <x:v>227.13976416514487</x:v>
      </x:c>
      <x:c r="G14" s="381" t="n">
        <x:f>IF(G$8&lt;=$D14,0,((DCF!$E$16/(1+G$8)^DCF!$E$17)+(DCF!$F$16/(1+G$8)^DCF!$F$17)+(DCF!$G$16/(1+G$8)^DCF!$G$17)+(DCF!$H$16/(1+G$8)^DCF!$H$17)+(DCF!$I$16/(1+G$8)^DCF!$I$17)+(DCF!$I$14*(1+$D14)/(G$8-$D14)/(1+G$8)^DCF!$I$17)+SOTP!$E$15+SOTP!$E$16+SOTP!$E$26)/Valuation_Inputs!$C$39)</x:f>
        <x:v>212.28921307481377</x:v>
      </x:c>
      <x:c r="H14" s="381" t="n">
        <x:f>IF(H$8&lt;=$D14,0,((DCF!$E$16/(1+H$8)^DCF!$E$17)+(DCF!$F$16/(1+H$8)^DCF!$F$17)+(DCF!$G$16/(1+H$8)^DCF!$G$17)+(DCF!$H$16/(1+H$8)^DCF!$H$17)+(DCF!$I$16/(1+H$8)^DCF!$I$17)+(DCF!$I$14*(1+$D14)/(H$8-$D14)/(1+H$8)^DCF!$I$17)+SOTP!$E$15+SOTP!$E$16+SOTP!$E$26)/Valuation_Inputs!$C$39)</x:f>
        <x:v>199.53912132148437</x:v>
      </x:c>
      <x:c r="I14" s="381" t="n">
        <x:f>IF(I$8&lt;=$D14,0,((DCF!$E$16/(1+I$8)^DCF!$E$17)+(DCF!$F$16/(1+I$8)^DCF!$F$17)+(DCF!$G$16/(1+I$8)^DCF!$G$17)+(DCF!$H$16/(1+I$8)^DCF!$H$17)+(DCF!$I$16/(1+I$8)^DCF!$I$17)+(DCF!$I$14*(1+$D14)/(I$8-$D14)/(1+I$8)^DCF!$I$17)+SOTP!$E$15+SOTP!$E$16+SOTP!$E$26)/Valuation_Inputs!$C$39)</x:f>
        <x:v>188.47384708092497</x:v>
      </x:c>
      <x:c r="J14" s="393" t="n">
        <x:f>IF(J$8&lt;=$D14,0,((DCF!$E$16/(1+J$8)^DCF!$E$17)+(DCF!$F$16/(1+J$8)^DCF!$F$17)+(DCF!$G$16/(1+J$8)^DCF!$G$17)+(DCF!$H$16/(1+J$8)^DCF!$H$17)+(DCF!$I$16/(1+J$8)^DCF!$I$17)+(DCF!$I$14*(1+$D14)/(J$8-$D14)/(1+J$8)^DCF!$I$17)+SOTP!$E$15+SOTP!$E$16+SOTP!$E$26)/Valuation_Inputs!$C$39)</x:f>
        <x:v>178.78061329573177</x:v>
      </x:c>
      <x:c r="K14" s="393" t="n">
        <x:f>IF(K$8&lt;=$D14,0,((DCF!$E$16/(1+K$8)^DCF!$E$17)+(DCF!$F$16/(1+K$8)^DCF!$F$17)+(DCF!$G$16/(1+K$8)^DCF!$G$17)+(DCF!$H$16/(1+K$8)^DCF!$H$17)+(DCF!$I$16/(1+K$8)^DCF!$I$17)+(DCF!$I$14*(1+$D14)/(K$8-$D14)/(1+K$8)^DCF!$I$17)+SOTP!$E$15+SOTP!$E$16+SOTP!$E$26)/Valuation_Inputs!$C$39)</x:f>
        <x:v>170.21954041524725</x:v>
      </x:c>
    </x:row>
    <x:row r="15" ht="20" customHeight="1">
      <x:c r="C15" s="314"/>
      <x:c r="D15" s="390" t="n">
        <x:f>Cost_Of_Capital!$C$21+(6-3)*0.005</x:f>
        <x:v>0.055</x:v>
      </x:c>
      <x:c r="E15" s="381" t="n">
        <x:f>IF(E$8&lt;=$D15,0,((DCF!$E$16/(1+E$8)^DCF!$E$17)+(DCF!$F$16/(1+E$8)^DCF!$F$17)+(DCF!$G$16/(1+E$8)^DCF!$G$17)+(DCF!$H$16/(1+E$8)^DCF!$H$17)+(DCF!$I$16/(1+E$8)^DCF!$I$17)+(DCF!$I$14*(1+$D15)/(E$8-$D15)/(1+E$8)^DCF!$I$17)+SOTP!$E$15+SOTP!$E$16+SOTP!$E$26)/Valuation_Inputs!$C$39)</x:f>
        <x:v>262.1690281443535</x:v>
      </x:c>
      <x:c r="F15" s="381" t="n">
        <x:f>IF(F$8&lt;=$D15,0,((DCF!$E$16/(1+F$8)^DCF!$E$17)+(DCF!$F$16/(1+F$8)^DCF!$F$17)+(DCF!$G$16/(1+F$8)^DCF!$G$17)+(DCF!$H$16/(1+F$8)^DCF!$H$17)+(DCF!$I$16/(1+F$8)^DCF!$I$17)+(DCF!$I$14*(1+$D15)/(F$8-$D15)/(1+F$8)^DCF!$I$17)+SOTP!$E$15+SOTP!$E$16+SOTP!$E$26)/Valuation_Inputs!$C$39)</x:f>
        <x:v>241.54433097295623</x:v>
      </x:c>
      <x:c r="G15" s="381" t="n">
        <x:f>IF(G$8&lt;=$D15,0,((DCF!$E$16/(1+G$8)^DCF!$E$17)+(DCF!$F$16/(1+G$8)^DCF!$F$17)+(DCF!$G$16/(1+G$8)^DCF!$G$17)+(DCF!$H$16/(1+G$8)^DCF!$H$17)+(DCF!$I$16/(1+G$8)^DCF!$I$17)+(DCF!$I$14*(1+$D15)/(G$8-$D15)/(1+G$8)^DCF!$I$17)+SOTP!$E$15+SOTP!$E$16+SOTP!$E$26)/Valuation_Inputs!$C$39)</x:f>
        <x:v>224.31459657905017</x:v>
      </x:c>
      <x:c r="H15" s="381" t="n">
        <x:f>IF(H$8&lt;=$D15,0,((DCF!$E$16/(1+H$8)^DCF!$E$17)+(DCF!$F$16/(1+H$8)^DCF!$F$17)+(DCF!$G$16/(1+H$8)^DCF!$G$17)+(DCF!$H$16/(1+H$8)^DCF!$H$17)+(DCF!$I$16/(1+H$8)^DCF!$I$17)+(DCF!$I$14*(1+$D15)/(H$8-$D15)/(1+H$8)^DCF!$I$17)+SOTP!$E$15+SOTP!$E$16+SOTP!$E$26)/Valuation_Inputs!$C$39)</x:f>
        <x:v>209.70600141099786</x:v>
      </x:c>
      <x:c r="I15" s="381" t="n">
        <x:f>IF(I$8&lt;=$D15,0,((DCF!$E$16/(1+I$8)^DCF!$E$17)+(DCF!$F$16/(1+I$8)^DCF!$F$17)+(DCF!$G$16/(1+I$8)^DCF!$G$17)+(DCF!$H$16/(1+I$8)^DCF!$H$17)+(DCF!$I$16/(1+I$8)^DCF!$I$17)+(DCF!$I$14*(1+$D15)/(I$8-$D15)/(1+I$8)^DCF!$I$17)+SOTP!$E$15+SOTP!$E$16+SOTP!$E$26)/Valuation_Inputs!$C$39)</x:f>
        <x:v>197.16327317646653</x:v>
      </x:c>
      <x:c r="J15" s="393" t="n">
        <x:f>IF(J$8&lt;=$D15,0,((DCF!$E$16/(1+J$8)^DCF!$E$17)+(DCF!$F$16/(1+J$8)^DCF!$F$17)+(DCF!$G$16/(1+J$8)^DCF!$G$17)+(DCF!$H$16/(1+J$8)^DCF!$H$17)+(DCF!$I$16/(1+J$8)^DCF!$I$17)+(DCF!$I$14*(1+$D15)/(J$8-$D15)/(1+J$8)^DCF!$I$17)+SOTP!$E$15+SOTP!$E$16+SOTP!$E$26)/Valuation_Inputs!$C$39)</x:f>
        <x:v>186.27762295044587</x:v>
      </x:c>
      <x:c r="K15" s="393" t="n">
        <x:f>IF(K$8&lt;=$D15,0,((DCF!$E$16/(1+K$8)^DCF!$E$17)+(DCF!$F$16/(1+K$8)^DCF!$F$17)+(DCF!$G$16/(1+K$8)^DCF!$G$17)+(DCF!$H$16/(1+K$8)^DCF!$H$17)+(DCF!$I$16/(1+K$8)^DCF!$I$17)+(DCF!$I$14*(1+$D15)/(K$8-$D15)/(1+K$8)^DCF!$I$17)+SOTP!$E$15+SOTP!$E$16+SOTP!$E$26)/Valuation_Inputs!$C$39)</x:f>
        <x:v>176.7414303941512</x:v>
      </x:c>
    </x:row>
    <x:row r="16" ht="20" customHeight="1">
      <x:c r="C16" s="314"/>
      <x:c r="D16" s="314"/>
      <x:c r="E16" s="314"/>
      <x:c r="F16" s="314"/>
      <x:c r="G16" s="314"/>
      <x:c r="H16" s="314"/>
      <x:c r="I16" s="314"/>
    </x:row>
    <x:row r="17" ht="20" customHeight="1">
      <x:c r="C17" s="314"/>
      <x:c r="D17" s="314"/>
      <x:c r="E17" s="314"/>
      <x:c r="F17" s="314"/>
      <x:c r="G17" s="314"/>
      <x:c r="H17" s="314"/>
      <x:c r="I17" s="314"/>
    </x:row>
    <x:row r="18" ht="24" customHeight="1">
      <x:c r="B18" s="323" t="str">
        <x:v>SOTP PER SHARE  •  CIGARETTE P/E ACROSS, FMCG P/E DOWN  •  ₹</x:v>
      </x:c>
      <x:c r="C18" s="326"/>
      <x:c r="D18" s="326"/>
      <x:c r="E18" s="326"/>
      <x:c r="F18" s="326"/>
      <x:c r="G18" s="326"/>
      <x:c r="H18" s="326"/>
      <x:c r="I18" s="326"/>
    </x:row>
    <x:row r="19" ht="20" customHeight="1">
      <x:c r="C19" s="314"/>
      <x:c r="D19" s="314"/>
      <x:c r="E19" s="314"/>
      <x:c r="F19" s="314"/>
      <x:c r="G19" s="314"/>
      <x:c r="H19" s="314"/>
      <x:c r="I19" s="314"/>
    </x:row>
    <x:row r="20" ht="20" customHeight="1">
      <x:c r="C20" s="314"/>
      <x:c r="D20" s="314" t="str">
        <x:v>FMCG ↓  /  Cigarettes →</x:v>
      </x:c>
      <x:c r="E20" s="396" t="n">
        <x:f>SOTP!$D$7+(0-3)</x:f>
        <x:v>14.5</x:v>
      </x:c>
      <x:c r="F20" s="396" t="n">
        <x:f>SOTP!$D$7+(1-3)</x:f>
        <x:v>15.5</x:v>
      </x:c>
      <x:c r="G20" s="396" t="n">
        <x:f>SOTP!$D$7+(2-3)</x:f>
        <x:v>16.5</x:v>
      </x:c>
      <x:c r="H20" s="396" t="n">
        <x:f>SOTP!$D$7+(3-3)</x:f>
        <x:v>17.5</x:v>
      </x:c>
      <x:c r="I20" s="396" t="n">
        <x:f>SOTP!$D$7+(4-3)</x:f>
        <x:v>18.5</x:v>
      </x:c>
      <x:c r="J20" s="398" t="n">
        <x:f>SOTP!$D$7+(5-3)</x:f>
        <x:v>19.5</x:v>
      </x:c>
      <x:c r="K20" s="398" t="n">
        <x:f>SOTP!$D$7+(6-3)</x:f>
        <x:v>20.5</x:v>
      </x:c>
    </x:row>
    <x:row r="21" ht="20" customHeight="1">
      <x:c r="C21" s="314"/>
      <x:c r="D21" s="396" t="n">
        <x:f>SOTP!$D$8+(0-3)*2.5</x:f>
        <x:v>22.5</x:v>
      </x:c>
      <x:c r="E21" s="381" t="n">
        <x:f>(SOTP!$E$28+(E$20-SOTP!$D$7)*SOTP!$C$7+($D21-SOTP!$D$8)*SOTP!$C$8)/Valuation_Inputs!$C$39</x:f>
        <x:v>263.47931344198565</x:v>
      </x:c>
      <x:c r="F21" s="381" t="n">
        <x:f>(SOTP!$E$28+(F$20-SOTP!$D$7)*SOTP!$C$7+($D21-SOTP!$D$8)*SOTP!$C$8)/Valuation_Inputs!$C$39</x:f>
        <x:v>275.0195618630383</x:v>
      </x:c>
      <x:c r="G21" s="381" t="n">
        <x:f>(SOTP!$E$28+(G$20-SOTP!$D$7)*SOTP!$C$7+($D21-SOTP!$D$8)*SOTP!$C$8)/Valuation_Inputs!$C$39</x:f>
        <x:v>286.55981028409093</x:v>
      </x:c>
      <x:c r="H21" s="381" t="n">
        <x:f>(SOTP!$E$28+(H$20-SOTP!$D$7)*SOTP!$C$7+($D21-SOTP!$D$8)*SOTP!$C$8)/Valuation_Inputs!$C$39</x:f>
        <x:v>298.10005870514357</x:v>
      </x:c>
      <x:c r="I21" s="381" t="n">
        <x:f>(SOTP!$E$28+(I$20-SOTP!$D$7)*SOTP!$C$7+($D21-SOTP!$D$8)*SOTP!$C$8)/Valuation_Inputs!$C$39</x:f>
        <x:v>309.6403071261962</x:v>
      </x:c>
      <x:c r="J21" s="393" t="n">
        <x:f>(SOTP!$E$28+(J$20-SOTP!$D$7)*SOTP!$C$7+($D21-SOTP!$D$8)*SOTP!$C$8)/Valuation_Inputs!$C$39</x:f>
        <x:v>321.18055554724884</x:v>
      </x:c>
      <x:c r="K21" s="393" t="n">
        <x:f>(SOTP!$E$28+(K$20-SOTP!$D$7)*SOTP!$C$7+($D21-SOTP!$D$8)*SOTP!$C$8)/Valuation_Inputs!$C$39</x:f>
        <x:v>332.7208039683015</x:v>
      </x:c>
    </x:row>
    <x:row r="22" ht="20" customHeight="1">
      <x:c r="C22" s="314"/>
      <x:c r="D22" s="396" t="n">
        <x:f>SOTP!$D$8+(1-3)*2.5</x:f>
        <x:v>25</x:v>
      </x:c>
      <x:c r="E22" s="381" t="n">
        <x:f>(SOTP!$E$28+(E$20-SOTP!$D$7)*SOTP!$C$7+($D22-SOTP!$D$8)*SOTP!$C$8)/Valuation_Inputs!$C$39</x:f>
        <x:v>268.0331210825359</x:v>
      </x:c>
      <x:c r="F22" s="381" t="n">
        <x:f>(SOTP!$E$28+(F$20-SOTP!$D$7)*SOTP!$C$7+($D22-SOTP!$D$8)*SOTP!$C$8)/Valuation_Inputs!$C$39</x:f>
        <x:v>279.57336950358854</x:v>
      </x:c>
      <x:c r="G22" s="381" t="n">
        <x:f>(SOTP!$E$28+(G$20-SOTP!$D$7)*SOTP!$C$7+($D22-SOTP!$D$8)*SOTP!$C$8)/Valuation_Inputs!$C$39</x:f>
        <x:v>291.1136179246412</x:v>
      </x:c>
      <x:c r="H22" s="381" t="n">
        <x:f>(SOTP!$E$28+(H$20-SOTP!$D$7)*SOTP!$C$7+($D22-SOTP!$D$8)*SOTP!$C$8)/Valuation_Inputs!$C$39</x:f>
        <x:v>302.6538663456938</x:v>
      </x:c>
      <x:c r="I22" s="381" t="n">
        <x:f>(SOTP!$E$28+(I$20-SOTP!$D$7)*SOTP!$C$7+($D22-SOTP!$D$8)*SOTP!$C$8)/Valuation_Inputs!$C$39</x:f>
        <x:v>314.19411476674645</x:v>
      </x:c>
      <x:c r="J22" s="393" t="n">
        <x:f>(SOTP!$E$28+(J$20-SOTP!$D$7)*SOTP!$C$7+($D22-SOTP!$D$8)*SOTP!$C$8)/Valuation_Inputs!$C$39</x:f>
        <x:v>325.73436318779903</x:v>
      </x:c>
      <x:c r="K22" s="393" t="n">
        <x:f>(SOTP!$E$28+(K$20-SOTP!$D$7)*SOTP!$C$7+($D22-SOTP!$D$8)*SOTP!$C$8)/Valuation_Inputs!$C$39</x:f>
        <x:v>337.2746116088517</x:v>
      </x:c>
    </x:row>
    <x:row r="23" ht="20" customHeight="1">
      <x:c r="C23" s="314"/>
      <x:c r="D23" s="396" t="n">
        <x:f>SOTP!$D$8+(2-3)*2.5</x:f>
        <x:v>27.5</x:v>
      </x:c>
      <x:c r="E23" s="381" t="n">
        <x:f>(SOTP!$E$28+(E$20-SOTP!$D$7)*SOTP!$C$7+($D23-SOTP!$D$8)*SOTP!$C$8)/Valuation_Inputs!$C$39</x:f>
        <x:v>272.58692872308615</x:v>
      </x:c>
      <x:c r="F23" s="381" t="n">
        <x:f>(SOTP!$E$28+(F$20-SOTP!$D$7)*SOTP!$C$7+($D23-SOTP!$D$8)*SOTP!$C$8)/Valuation_Inputs!$C$39</x:f>
        <x:v>284.1271771441388</x:v>
      </x:c>
      <x:c r="G23" s="381" t="n">
        <x:f>(SOTP!$E$28+(G$20-SOTP!$D$7)*SOTP!$C$7+($D23-SOTP!$D$8)*SOTP!$C$8)/Valuation_Inputs!$C$39</x:f>
        <x:v>295.6674255651914</x:v>
      </x:c>
      <x:c r="H23" s="381" t="n">
        <x:f>(SOTP!$E$28+(H$20-SOTP!$D$7)*SOTP!$C$7+($D23-SOTP!$D$8)*SOTP!$C$8)/Valuation_Inputs!$C$39</x:f>
        <x:v>307.20767398624406</x:v>
      </x:c>
      <x:c r="I23" s="381" t="n">
        <x:f>(SOTP!$E$28+(I$20-SOTP!$D$7)*SOTP!$C$7+($D23-SOTP!$D$8)*SOTP!$C$8)/Valuation_Inputs!$C$39</x:f>
        <x:v>318.7479224072967</x:v>
      </x:c>
      <x:c r="J23" s="393" t="n">
        <x:f>(SOTP!$E$28+(J$20-SOTP!$D$7)*SOTP!$C$7+($D23-SOTP!$D$8)*SOTP!$C$8)/Valuation_Inputs!$C$39</x:f>
        <x:v>330.2881708283493</x:v>
      </x:c>
      <x:c r="K23" s="393" t="n">
        <x:f>(SOTP!$E$28+(K$20-SOTP!$D$7)*SOTP!$C$7+($D23-SOTP!$D$8)*SOTP!$C$8)/Valuation_Inputs!$C$39</x:f>
        <x:v>341.8284192494019</x:v>
      </x:c>
    </x:row>
    <x:row r="24" ht="20" customHeight="1">
      <x:c r="C24" s="314"/>
      <x:c r="D24" s="396" t="n">
        <x:f>SOTP!$D$8+(3-3)*2.5</x:f>
        <x:v>30</x:v>
      </x:c>
      <x:c r="E24" s="381" t="n">
        <x:f>(SOTP!$E$28+(E$20-SOTP!$D$7)*SOTP!$C$7+($D24-SOTP!$D$8)*SOTP!$C$8)/Valuation_Inputs!$C$39</x:f>
        <x:v>277.1407363636364</x:v>
      </x:c>
      <x:c r="F24" s="381" t="n">
        <x:f>(SOTP!$E$28+(F$20-SOTP!$D$7)*SOTP!$C$7+($D24-SOTP!$D$8)*SOTP!$C$8)/Valuation_Inputs!$C$39</x:f>
        <x:v>288.68098478468903</x:v>
      </x:c>
      <x:c r="G24" s="381" t="n">
        <x:f>(SOTP!$E$28+(G$20-SOTP!$D$7)*SOTP!$C$7+($D24-SOTP!$D$8)*SOTP!$C$8)/Valuation_Inputs!$C$39</x:f>
        <x:v>300.2212332057416</x:v>
      </x:c>
      <x:c r="H24" s="395" t="n">
        <x:f>(SOTP!$E$28+(H$20-SOTP!$D$7)*SOTP!$C$7+($D24-SOTP!$D$8)*SOTP!$C$8)/Valuation_Inputs!$C$39</x:f>
        <x:v>311.7614816267943</x:v>
      </x:c>
      <x:c r="I24" s="381" t="n">
        <x:f>(SOTP!$E$28+(I$20-SOTP!$D$7)*SOTP!$C$7+($D24-SOTP!$D$8)*SOTP!$C$8)/Valuation_Inputs!$C$39</x:f>
        <x:v>323.30173004784695</x:v>
      </x:c>
      <x:c r="J24" s="393" t="n">
        <x:f>(SOTP!$E$28+(J$20-SOTP!$D$7)*SOTP!$C$7+($D24-SOTP!$D$8)*SOTP!$C$8)/Valuation_Inputs!$C$39</x:f>
        <x:v>334.8419784688995</x:v>
      </x:c>
      <x:c r="K24" s="393" t="n">
        <x:f>(SOTP!$E$28+(K$20-SOTP!$D$7)*SOTP!$C$7+($D24-SOTP!$D$8)*SOTP!$C$8)/Valuation_Inputs!$C$39</x:f>
        <x:v>346.38222688995216</x:v>
      </x:c>
    </x:row>
    <x:row r="25" ht="20" customHeight="1">
      <x:c r="C25" s="314"/>
      <x:c r="D25" s="396" t="n">
        <x:f>SOTP!$D$8+(4-3)*2.5</x:f>
        <x:v>32.5</x:v>
      </x:c>
      <x:c r="E25" s="381" t="n">
        <x:f>(SOTP!$E$28+(E$20-SOTP!$D$7)*SOTP!$C$7+($D25-SOTP!$D$8)*SOTP!$C$8)/Valuation_Inputs!$C$39</x:f>
        <x:v>281.69454400418664</x:v>
      </x:c>
      <x:c r="F25" s="381" t="n">
        <x:f>(SOTP!$E$28+(F$20-SOTP!$D$7)*SOTP!$C$7+($D25-SOTP!$D$8)*SOTP!$C$8)/Valuation_Inputs!$C$39</x:f>
        <x:v>293.2347924252393</x:v>
      </x:c>
      <x:c r="G25" s="381" t="n">
        <x:f>(SOTP!$E$28+(G$20-SOTP!$D$7)*SOTP!$C$7+($D25-SOTP!$D$8)*SOTP!$C$8)/Valuation_Inputs!$C$39</x:f>
        <x:v>304.77504084629186</x:v>
      </x:c>
      <x:c r="H25" s="381" t="n">
        <x:f>(SOTP!$E$28+(H$20-SOTP!$D$7)*SOTP!$C$7+($D25-SOTP!$D$8)*SOTP!$C$8)/Valuation_Inputs!$C$39</x:f>
        <x:v>316.3152892673445</x:v>
      </x:c>
      <x:c r="I25" s="381" t="n">
        <x:f>(SOTP!$E$28+(I$20-SOTP!$D$7)*SOTP!$C$7+($D25-SOTP!$D$8)*SOTP!$C$8)/Valuation_Inputs!$C$39</x:f>
        <x:v>327.8555376883972</x:v>
      </x:c>
      <x:c r="J25" s="393" t="n">
        <x:f>(SOTP!$E$28+(J$20-SOTP!$D$7)*SOTP!$C$7+($D25-SOTP!$D$8)*SOTP!$C$8)/Valuation_Inputs!$C$39</x:f>
        <x:v>339.3957861094498</x:v>
      </x:c>
      <x:c r="K25" s="393" t="n">
        <x:f>(SOTP!$E$28+(K$20-SOTP!$D$7)*SOTP!$C$7+($D25-SOTP!$D$8)*SOTP!$C$8)/Valuation_Inputs!$C$39</x:f>
        <x:v>350.9360345305024</x:v>
      </x:c>
    </x:row>
    <x:row r="26" ht="20" customHeight="1">
      <x:c r="C26" s="314"/>
      <x:c r="D26" s="396" t="n">
        <x:f>SOTP!$D$8+(5-3)*2.5</x:f>
        <x:v>35</x:v>
      </x:c>
      <x:c r="E26" s="381" t="n">
        <x:f>(SOTP!$E$28+(E$20-SOTP!$D$7)*SOTP!$C$7+($D26-SOTP!$D$8)*SOTP!$C$8)/Valuation_Inputs!$C$39</x:f>
        <x:v>286.2483516447369</x:v>
      </x:c>
      <x:c r="F26" s="381" t="n">
        <x:f>(SOTP!$E$28+(F$20-SOTP!$D$7)*SOTP!$C$7+($D26-SOTP!$D$8)*SOTP!$C$8)/Valuation_Inputs!$C$39</x:f>
        <x:v>297.7886000657895</x:v>
      </x:c>
      <x:c r="G26" s="381" t="n">
        <x:f>(SOTP!$E$28+(G$20-SOTP!$D$7)*SOTP!$C$7+($D26-SOTP!$D$8)*SOTP!$C$8)/Valuation_Inputs!$C$39</x:f>
        <x:v>309.3288484868421</x:v>
      </x:c>
      <x:c r="H26" s="381" t="n">
        <x:f>(SOTP!$E$28+(H$20-SOTP!$D$7)*SOTP!$C$7+($D26-SOTP!$D$8)*SOTP!$C$8)/Valuation_Inputs!$C$39</x:f>
        <x:v>320.86909690789474</x:v>
      </x:c>
      <x:c r="I26" s="381" t="n">
        <x:f>(SOTP!$E$28+(I$20-SOTP!$D$7)*SOTP!$C$7+($D26-SOTP!$D$8)*SOTP!$C$8)/Valuation_Inputs!$C$39</x:f>
        <x:v>332.4093453289474</x:v>
      </x:c>
      <x:c r="J26" s="393" t="n">
        <x:f>(SOTP!$E$28+(J$20-SOTP!$D$7)*SOTP!$C$7+($D26-SOTP!$D$8)*SOTP!$C$8)/Valuation_Inputs!$C$39</x:f>
        <x:v>343.94959375</x:v>
      </x:c>
      <x:c r="K26" s="393" t="n">
        <x:f>(SOTP!$E$28+(K$20-SOTP!$D$7)*SOTP!$C$7+($D26-SOTP!$D$8)*SOTP!$C$8)/Valuation_Inputs!$C$39</x:f>
        <x:v>355.48984217105266</x:v>
      </x:c>
    </x:row>
    <x:row r="27" ht="20" customHeight="1">
      <x:c r="C27" s="314"/>
      <x:c r="D27" s="396" t="n">
        <x:f>SOTP!$D$8+(6-3)*2.5</x:f>
        <x:v>37.5</x:v>
      </x:c>
      <x:c r="E27" s="381" t="n">
        <x:f>(SOTP!$E$28+(E$20-SOTP!$D$7)*SOTP!$C$7+($D27-SOTP!$D$8)*SOTP!$C$8)/Valuation_Inputs!$C$39</x:f>
        <x:v>290.8021592852871</x:v>
      </x:c>
      <x:c r="F27" s="381" t="n">
        <x:f>(SOTP!$E$28+(F$20-SOTP!$D$7)*SOTP!$C$7+($D27-SOTP!$D$8)*SOTP!$C$8)/Valuation_Inputs!$C$39</x:f>
        <x:v>302.34240770633977</x:v>
      </x:c>
      <x:c r="G27" s="381" t="n">
        <x:f>(SOTP!$E$28+(G$20-SOTP!$D$7)*SOTP!$C$7+($D27-SOTP!$D$8)*SOTP!$C$8)/Valuation_Inputs!$C$39</x:f>
        <x:v>313.88265612739235</x:v>
      </x:c>
      <x:c r="H27" s="381" t="n">
        <x:f>(SOTP!$E$28+(H$20-SOTP!$D$7)*SOTP!$C$7+($D27-SOTP!$D$8)*SOTP!$C$8)/Valuation_Inputs!$C$39</x:f>
        <x:v>325.422904548445</x:v>
      </x:c>
      <x:c r="I27" s="381" t="n">
        <x:f>(SOTP!$E$28+(I$20-SOTP!$D$7)*SOTP!$C$7+($D27-SOTP!$D$8)*SOTP!$C$8)/Valuation_Inputs!$C$39</x:f>
        <x:v>336.9631529694976</x:v>
      </x:c>
      <x:c r="J27" s="393" t="n">
        <x:f>(SOTP!$E$28+(J$20-SOTP!$D$7)*SOTP!$C$7+($D27-SOTP!$D$8)*SOTP!$C$8)/Valuation_Inputs!$C$39</x:f>
        <x:v>348.50340139055027</x:v>
      </x:c>
      <x:c r="K27" s="393" t="n">
        <x:f>(SOTP!$E$28+(K$20-SOTP!$D$7)*SOTP!$C$7+($D27-SOTP!$D$8)*SOTP!$C$8)/Valuation_Inputs!$C$39</x:f>
        <x:v>360.0436498116029</x:v>
      </x:c>
    </x:row>
    <x:row r="28" ht="20" customHeight="1">
      <x:c r="C28" s="314"/>
      <x:c r="D28" s="314"/>
      <x:c r="E28" s="314"/>
      <x:c r="F28" s="314"/>
      <x:c r="G28" s="314"/>
      <x:c r="H28" s="314"/>
      <x:c r="I28" s="314"/>
    </x:row>
    <x:row r="29" ht="20" customHeight="1">
      <x:c r="C29" s="314"/>
      <x:c r="D29" s="314"/>
      <x:c r="E29" s="314"/>
      <x:c r="F29" s="314"/>
      <x:c r="G29" s="314"/>
      <x:c r="H29" s="314"/>
      <x:c r="I29" s="314"/>
    </x:row>
    <x:row r="30" ht="24" customHeight="1">
      <x:c r="B30" s="323" t="str">
        <x:v>MODEL INTERPRETATION &amp; CONTROL</x:v>
      </x:c>
      <x:c r="C30" s="326"/>
      <x:c r="D30" s="326"/>
      <x:c r="E30" s="326"/>
      <x:c r="F30" s="326"/>
      <x:c r="G30" s="326"/>
      <x:c r="H30" s="326"/>
      <x:c r="I30" s="326"/>
    </x:row>
    <x:row r="31" ht="20" customHeight="1">
      <x:c r="C31" s="314"/>
      <x:c r="D31" s="314"/>
      <x:c r="E31" s="314"/>
      <x:c r="F31" s="314"/>
      <x:c r="G31" s="314"/>
      <x:c r="H31" s="314"/>
      <x:c r="I31" s="314"/>
    </x:row>
    <x:row r="32" ht="43" customHeight="1">
      <x:c r="B32" s="352" t="str">
        <x:v>At center, DCF H12 equals the linked DCF fair value; SOTP H24 equals the linked SOTP. The center updates when assumptions change. These grids are independent of the scenario dropdown and do not attach probabilities to scenarios.</x:v>
      </x:c>
      <x:c r="C32" s="353"/>
      <x:c r="D32" s="353"/>
      <x:c r="E32" s="353"/>
      <x:c r="F32" s="353"/>
      <x:c r="G32" s="353"/>
      <x:c r="H32" s="353"/>
      <x:c r="I32" s="353"/>
    </x:row>
    <x:row r="33" ht="44" customHeight="1">
      <x:c r="B33" s="352" t="str">
        <x:v>Discount-rate and perpetual-growth risks are structural; a change in law, volume, illicit trade or terminal cash conversion can affect the numerator as well as the denominator. SOTP grid varies only two EBIT multiples.</x:v>
      </x:c>
      <x:c r="C33" s="353"/>
      <x:c r="D33" s="353"/>
      <x:c r="E33" s="353"/>
      <x:c r="F33" s="353"/>
      <x:c r="G33" s="353"/>
      <x:c r="H33" s="353"/>
      <x:c r="I33" s="353"/>
    </x:row>
    <x:row r="34" ht="20" customHeight="1">
      <x:c r="C34" s="314"/>
      <x:c r="D34" s="314"/>
      <x:c r="E34" s="314"/>
      <x:c r="F34" s="314"/>
      <x:c r="G34" s="314"/>
      <x:c r="H34" s="314"/>
      <x:c r="I34" s="314"/>
    </x:row>
    <x:row r="35" ht="20" customHeight="1">
      <x:c r="C35" s="314"/>
      <x:c r="D35" s="314"/>
      <x:c r="E35" s="314"/>
      <x:c r="F35" s="314"/>
      <x:c r="G35" s="314"/>
      <x:c r="H35" s="314"/>
      <x:c r="I35" s="314"/>
    </x:row>
    <x:row r="36" ht="20" customHeight="1">
      <x:c r="C36" s="314"/>
      <x:c r="D36" s="314"/>
      <x:c r="E36" s="314"/>
      <x:c r="F36" s="314"/>
      <x:c r="G36" s="314"/>
      <x:c r="H36" s="314"/>
      <x:c r="I36" s="314"/>
    </x:row>
    <x:row r="37" ht="20" customHeight="1">
      <x:c r="C37" s="314"/>
      <x:c r="D37" s="314"/>
      <x:c r="E37" s="314"/>
      <x:c r="F37" s="314"/>
      <x:c r="G37" s="314"/>
      <x:c r="H37" s="314"/>
      <x:c r="I37" s="314"/>
    </x:row>
    <x:row r="38" ht="20" customHeight="1">
      <x:c r="C38" s="314"/>
      <x:c r="D38" s="314"/>
      <x:c r="E38" s="314"/>
      <x:c r="F38" s="314"/>
      <x:c r="G38" s="314"/>
      <x:c r="H38" s="314"/>
      <x:c r="I38" s="314"/>
    </x:row>
    <x:row r="39" ht="20" customHeight="1">
      <x:c r="C39" s="314"/>
      <x:c r="D39" s="314"/>
      <x:c r="E39" s="314"/>
      <x:c r="F39" s="314"/>
      <x:c r="G39" s="314"/>
      <x:c r="H39" s="314"/>
      <x:c r="I39" s="314"/>
    </x:row>
    <x:row r="40" ht="20" customHeight="1">
      <x:c r="C40" s="314"/>
      <x:c r="D40" s="314"/>
      <x:c r="E40" s="314"/>
      <x:c r="F40" s="314"/>
      <x:c r="G40" s="314"/>
      <x:c r="H40" s="314"/>
      <x:c r="I40" s="314"/>
    </x:row>
    <x:row r="41" ht="20" customHeight="1">
      <x:c r="C41" s="314"/>
      <x:c r="D41" s="314"/>
      <x:c r="E41" s="314"/>
      <x:c r="F41" s="314"/>
      <x:c r="G41" s="314"/>
      <x:c r="H41" s="314"/>
      <x:c r="I41" s="314"/>
    </x:row>
    <x:row r="42" ht="20" customHeight="1">
      <x:c r="C42" s="314"/>
      <x:c r="D42" s="314"/>
      <x:c r="E42" s="314"/>
      <x:c r="F42" s="314"/>
      <x:c r="G42" s="314"/>
      <x:c r="H42" s="314"/>
      <x:c r="I42" s="314"/>
    </x:row>
    <x:row r="43" ht="20" customHeight="1">
      <x:c r="C43" s="314"/>
      <x:c r="D43" s="314"/>
      <x:c r="E43" s="314"/>
      <x:c r="F43" s="314"/>
      <x:c r="G43" s="314"/>
      <x:c r="H43" s="314"/>
      <x:c r="I43" s="314"/>
    </x:row>
    <x:row r="44" ht="20" customHeight="1">
      <x:c r="C44" s="314"/>
      <x:c r="D44" s="314"/>
      <x:c r="E44" s="314"/>
      <x:c r="F44" s="314"/>
      <x:c r="G44" s="314"/>
      <x:c r="H44" s="314"/>
      <x:c r="I44" s="314"/>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18:I18"/>
    <x:mergeCell ref="B30:I30"/>
    <x:mergeCell ref="B32:I32"/>
    <x:mergeCell ref="B33:I33"/>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 hidden="0" customWidth="1"/>
    <x:col min="2" max="2" width="44" hidden="0" customWidth="1"/>
    <x:col min="3" max="3" width="17" hidden="0" customWidth="1"/>
    <x:col min="4" max="4" width="19" hidden="0" customWidth="1"/>
    <x:col min="5" max="5" width="54" hidden="0" customWidth="1"/>
    <x:col min="6" max="6" width="17" hidden="0" customWidth="1"/>
    <x:col min="7" max="7" width="17" hidden="0" customWidth="1"/>
    <x:col min="8" max="8" width="17" hidden="0" customWidth="1"/>
    <x:col min="9" max="9" width="17" hidden="0" customWidth="1"/>
  </x:cols>
  <x:sheetData>
    <x:row r="2" ht="35" customHeight="1">
      <x:c r="B2" s="317" t="str">
        <x:v>VALUATION DASHBOARD  |  ITC LTD</x:v>
      </x:c>
      <x:c r="C2" s="317"/>
      <x:c r="D2" s="317"/>
      <x:c r="E2" s="317"/>
      <x:c r="F2" s="317"/>
      <x:c r="G2" s="317"/>
      <x:c r="H2" s="317"/>
      <x:c r="I2" s="317"/>
    </x:row>
    <x:row r="3" ht="26" customHeight="1">
      <x:c r="B3" s="319" t="str">
        <x:v>As at 28 Sep 2026 with 25 Sep 2026 last-completed close. Three methods shown separately and as a blended reference.</x:v>
      </x:c>
      <x:c r="C3" s="319"/>
      <x:c r="D3" s="319"/>
      <x:c r="E3" s="319"/>
      <x:c r="F3" s="319"/>
      <x:c r="G3" s="319"/>
      <x:c r="H3" s="319"/>
      <x:c r="I3" s="319"/>
    </x:row>
    <x:row r="4" ht="24" customHeight="1">
      <x:c r="B4" s="323" t="str">
        <x:v>METRIC</x:v>
      </x:c>
      <x:c r="C4" s="322" t="str">
        <x:v>FAIR VALUE</x:v>
      </x:c>
      <x:c r="D4" s="322" t="str">
        <x:v>WEIGHT</x:v>
      </x:c>
      <x:c r="E4" s="322" t="str">
        <x:v>WEIGHTED</x:v>
      </x:c>
      <x:c r="F4" s="322" t="str">
        <x:v>DETAIL / METHOD</x:v>
      </x:c>
      <x:c r="G4" s="322" t="str"/>
      <x:c r="H4" s="322" t="str"/>
      <x:c r="I4" s="322" t="str"/>
    </x:row>
    <x:row r="5" ht="20" customHeight="1">
      <x:c r="C5" s="314"/>
      <x:c r="D5" s="314"/>
      <x:c r="E5" s="314"/>
      <x:c r="F5" s="314"/>
      <x:c r="G5" s="314"/>
      <x:c r="H5" s="314"/>
      <x:c r="I5" s="314"/>
    </x:row>
    <x:row r="6" ht="24" customHeight="1">
      <x:c r="B6" s="323" t="str">
        <x:v>PRICE &amp; DIVIDEND BASELINES</x:v>
      </x:c>
      <x:c r="C6" s="326"/>
      <x:c r="D6" s="326"/>
      <x:c r="E6" s="326"/>
      <x:c r="F6" s="326"/>
      <x:c r="G6" s="326"/>
      <x:c r="H6" s="326"/>
      <x:c r="I6" s="326"/>
    </x:row>
    <x:row r="7" ht="20" customHeight="1">
      <x:c r="B7" t="str">
        <x:v>ITC reference close, 25 Sep 2026</x:v>
      </x:c>
      <x:c r="C7" s="381" t="n">
        <x:f>Valuation_Inputs!C7</x:f>
        <x:v>268.9</x:v>
      </x:c>
      <x:c r="D7" s="314"/>
      <x:c r="E7" s="314"/>
      <x:c r="F7" s="314"/>
      <x:c r="G7" s="314"/>
      <x:c r="H7" s="314"/>
      <x:c r="I7" s="314"/>
    </x:row>
    <x:row r="8" ht="20" customHeight="1">
      <x:c r="B8" t="str">
        <x:v>Latest company share count, crore</x:v>
      </x:c>
      <x:c r="C8" s="347" t="n">
        <x:f>Valuation_Inputs!C8</x:f>
        <x:v>1253.0517081</x:v>
      </x:c>
      <x:c r="D8" s="314"/>
      <x:c r="E8" s="314"/>
      <x:c r="F8" s="314"/>
      <x:c r="G8" s="314"/>
      <x:c r="H8" s="314"/>
      <x:c r="I8" s="314"/>
    </x:row>
    <x:row r="9" ht="20" customHeight="1">
      <x:c r="B9" t="str">
        <x:v>Implied quote equity market cap, ₹ crore</x:v>
      </x:c>
      <x:c r="C9" s="337" t="n">
        <x:f>C7*C8</x:f>
        <x:v>336945.60430809</x:v>
      </x:c>
      <x:c r="D9" s="314"/>
      <x:c r="E9" s="314"/>
      <x:c r="F9" s="314"/>
      <x:c r="G9" s="314"/>
      <x:c r="H9" s="314"/>
      <x:c r="I9" s="314"/>
    </x:row>
    <x:row r="10" ht="20" customHeight="1">
      <x:c r="B10" t="str">
        <x:v>FY26 declared annual dividend / share</x:v>
      </x:c>
      <x:c r="C10" s="381" t="n">
        <x:f>Historic_IS!D24</x:f>
        <x:v>14.5</x:v>
      </x:c>
      <x:c r="D10" s="314"/>
      <x:c r="E10" s="314"/>
      <x:c r="F10" s="314"/>
      <x:c r="G10" s="314"/>
      <x:c r="H10" s="314"/>
      <x:c r="I10" s="314"/>
    </x:row>
    <x:row r="11" ht="20" customHeight="1">
      <x:c r="B11" t="str">
        <x:v>Trailing dividend yield at reference close</x:v>
      </x:c>
      <x:c r="C11" s="338" t="n">
        <x:f>C10/C7</x:f>
        <x:v>0.05392339159538862</x:v>
      </x:c>
      <x:c r="D11" s="314"/>
      <x:c r="E11" s="314"/>
      <x:c r="F11" s="314"/>
      <x:c r="G11" s="314"/>
      <x:c r="H11" s="314"/>
      <x:c r="I11" s="314"/>
    </x:row>
    <x:row r="12" ht="20" customHeight="1">
      <x:c r="C12" s="314"/>
      <x:c r="D12" s="314"/>
      <x:c r="E12" s="314"/>
      <x:c r="F12" s="314"/>
      <x:c r="G12" s="314"/>
      <x:c r="H12" s="314"/>
      <x:c r="I12" s="314"/>
    </x:row>
    <x:row r="13" ht="24" customHeight="1">
      <x:c r="B13" s="323" t="str">
        <x:v>METHOD RESULTS  •  ANALYST ASSUMPTIONS, NOT COMPANY GUIDANCE</x:v>
      </x:c>
      <x:c r="C13" s="326"/>
      <x:c r="D13" s="326"/>
      <x:c r="E13" s="326"/>
      <x:c r="F13" s="326"/>
      <x:c r="G13" s="326"/>
      <x:c r="H13" s="326"/>
      <x:c r="I13" s="326"/>
    </x:row>
    <x:row r="14" ht="20" customHeight="1">
      <x:c r="B14" t="str">
        <x:v>Unlevered standalone FCFF DCF + owned financial assets</x:v>
      </x:c>
      <x:c r="C14" s="381" t="n">
        <x:f>DCF!C35</x:f>
        <x:v>182.9795197694324</x:v>
      </x:c>
      <x:c r="D14" s="354" t="n">
        <x:f>Valuation_Inputs!C34</x:f>
        <x:v>0.4</x:v>
      </x:c>
      <x:c r="E14" s="377" t="n">
        <x:f>C14*D14</x:f>
        <x:v>73.19180790777295</x:v>
      </x:c>
      <x:c r="F14" s="314" t="str">
        <x:v>Includes group-only subsidiaries, Hotels associate and pro-forma net cash</x:v>
      </x:c>
      <x:c r="G14" s="314"/>
      <x:c r="H14" s="314"/>
      <x:c r="I14" s="314"/>
    </x:row>
    <x:row r="15" ht="20" customHeight="1">
      <x:c r="B15" t="str">
        <x:v>Segment SOTP / cash / associate market value</x:v>
      </x:c>
      <x:c r="C15" s="381" t="n">
        <x:f>SOTP!E30</x:f>
        <x:v>311.7614816267943</x:v>
      </x:c>
      <x:c r="D15" s="354" t="n">
        <x:f>Valuation_Inputs!C35</x:f>
        <x:v>0.45</x:v>
      </x:c>
      <x:c r="E15" s="377" t="n">
        <x:f>C15*D15</x:f>
        <x:v>140.29266673205746</x:v>
      </x:c>
      <x:c r="F15" s="314" t="str">
        <x:v>Separate franchise proxies, nonoperating investments and debt</x:v>
      </x:c>
      <x:c r="G15" s="314"/>
      <x:c r="H15" s="314"/>
      <x:c r="I15" s="314"/>
    </x:row>
    <x:row r="16" ht="20" customHeight="1">
      <x:c r="B16" t="str">
        <x:v>Public peer-weighted forward group P/E</x:v>
      </x:c>
      <x:c r="C16" s="381" t="n">
        <x:f>Relative_Valuation!C20</x:f>
        <x:v>274.5576654184031</x:v>
      </x:c>
      <x:c r="D16" s="354" t="n">
        <x:f>Valuation_Inputs!C36</x:f>
        <x:v>0.15</x:v>
      </x:c>
      <x:c r="E16" s="377" t="n">
        <x:f>C16*D16</x:f>
        <x:v>41.18364981276046</x:v>
      </x:c>
      <x:c r="F16" s="314" t="str">
        <x:v>Peer trailing multiples × analyst FY27 group EPS (no extra cash / Hotels)</x:v>
      </x:c>
      <x:c r="G16" s="314"/>
      <x:c r="H16" s="314"/>
      <x:c r="I16" s="314"/>
    </x:row>
    <x:row r="17" ht="20" customHeight="1">
      <x:c r="B17" t="str">
        <x:v>SUM OF WEIGHTS (100% = VALID)</x:v>
      </x:c>
      <x:c r="C17" s="314"/>
      <x:c r="D17" s="338" t="n">
        <x:f>SUM(D14:D16)</x:f>
        <x:v>1</x:v>
      </x:c>
      <x:c r="E17" s="314"/>
      <x:c r="F17" s="314"/>
      <x:c r="G17" s="314"/>
      <x:c r="H17" s="314"/>
      <x:c r="I17" s="314"/>
    </x:row>
    <x:row r="18" ht="24" customHeight="1">
      <x:c r="B18" s="363" t="str">
        <x:v>BLENDED REFERENCE SHARE VALUE</x:v>
      </x:c>
      <x:c r="C18" s="365"/>
      <x:c r="D18" s="365"/>
      <x:c r="E18" s="380" t="n">
        <x:f>IFERROR(SUM(E14:E16)/D17,0)</x:f>
        <x:v>254.66812445259086</x:v>
      </x:c>
      <x:c r="F18" s="365"/>
      <x:c r="G18" s="365"/>
      <x:c r="H18" s="365"/>
      <x:c r="I18" s="365"/>
    </x:row>
    <x:row r="19" ht="24" customHeight="1">
      <x:c r="B19" s="344" t="str">
        <x:v>Difference vs reference closing price</x:v>
      </x:c>
      <x:c r="C19" s="346"/>
      <x:c r="D19" s="346"/>
      <x:c r="E19" s="345" t="n">
        <x:f>IFERROR(E18/C7-1,0)</x:f>
        <x:v>-0.05292627574343289</x:v>
      </x:c>
      <x:c r="F19" s="346"/>
      <x:c r="G19" s="346"/>
      <x:c r="H19" s="346"/>
      <x:c r="I19" s="346"/>
    </x:row>
    <x:row r="20" ht="20" customHeight="1">
      <x:c r="C20" s="314"/>
      <x:c r="D20" s="314"/>
      <x:c r="E20" s="314"/>
      <x:c r="F20" s="314"/>
      <x:c r="G20" s="314"/>
      <x:c r="H20" s="314"/>
      <x:c r="I20" s="314"/>
    </x:row>
    <x:row r="21" ht="20" customHeight="1">
      <x:c r="C21" s="314"/>
      <x:c r="D21" s="314"/>
      <x:c r="E21" s="314"/>
      <x:c r="F21" s="314"/>
      <x:c r="G21" s="314"/>
      <x:c r="H21" s="314"/>
      <x:c r="I21" s="314"/>
    </x:row>
    <x:row r="22" ht="24" customHeight="1">
      <x:c r="B22" s="323" t="str">
        <x:v>OTHER HIGH-SENSITIVITY DECISION VARIABLES</x:v>
      </x:c>
      <x:c r="C22" s="326"/>
      <x:c r="D22" s="326"/>
      <x:c r="E22" s="326"/>
      <x:c r="F22" s="326"/>
      <x:c r="G22" s="326"/>
      <x:c r="H22" s="326"/>
      <x:c r="I22" s="326"/>
    </x:row>
    <x:row r="23" ht="20" customHeight="1">
      <x:c r="B23" t="str">
        <x:v>FY27E reported standalone ex-excise revenue</x:v>
      </x:c>
      <x:c r="C23" s="347" t="n">
        <x:f>Income_Statement!E8</x:f>
        <x:v>64640.91332218559</x:v>
      </x:c>
      <x:c r="D23" s="314"/>
      <x:c r="E23" s="314"/>
      <x:c r="F23" s="314"/>
      <x:c r="G23" s="314"/>
      <x:c r="H23" s="314"/>
      <x:c r="I23" s="314"/>
    </x:row>
    <x:row r="24" ht="20" customHeight="1">
      <x:c r="B24" t="str">
        <x:v>FY27E standalone continuing net profit</x:v>
      </x:c>
      <x:c r="C24" s="347" t="n">
        <x:f>Income_Statement!E25</x:f>
        <x:v>15350.531576050002</x:v>
      </x:c>
      <x:c r="D24" s="314"/>
      <x:c r="E24" s="314"/>
      <x:c r="F24" s="314"/>
      <x:c r="G24" s="314"/>
      <x:c r="H24" s="314"/>
      <x:c r="I24" s="314"/>
    </x:row>
    <x:row r="25" ht="20" customHeight="1">
      <x:c r="B25" t="str">
        <x:v>FY27E group net income attributable to owners</x:v>
      </x:c>
      <x:c r="C25" s="347" t="n">
        <x:f>Consolidated_Overlay!E20</x:f>
        <x:v>16447.33157605</x:v>
      </x:c>
      <x:c r="D25" s="314"/>
      <x:c r="E25" s="314"/>
      <x:c r="F25" s="314"/>
      <x:c r="G25" s="314"/>
      <x:c r="H25" s="314"/>
      <x:c r="I25" s="314"/>
    </x:row>
    <x:row r="26" ht="20" customHeight="1">
      <x:c r="B26" t="str">
        <x:v>FY27E diluted group EPS</x:v>
      </x:c>
      <x:c r="C26" s="381" t="n">
        <x:f>Relative_Valuation!C18</x:f>
        <x:v>13.115894398763956</x:v>
      </x:c>
      <x:c r="D26" s="314"/>
      <x:c r="E26" s="314"/>
      <x:c r="F26" s="314"/>
      <x:c r="G26" s="314"/>
      <x:c r="H26" s="314"/>
      <x:c r="I26" s="314"/>
    </x:row>
    <x:row r="27" ht="20" customHeight="1">
      <x:c r="B27" t="str">
        <x:v>Forward FY27E market P/E on model owner earnings</x:v>
      </x:c>
      <x:c r="C27" s="355" t="n">
        <x:f>Relative_Valuation!C24</x:f>
        <x:v>20.501842407738597</x:v>
      </x:c>
      <x:c r="D27" s="314"/>
      <x:c r="E27" s="314"/>
      <x:c r="F27" s="314"/>
      <x:c r="G27" s="314"/>
      <x:c r="H27" s="314"/>
      <x:c r="I27" s="314"/>
    </x:row>
    <x:row r="28" ht="20" customHeight="1">
      <x:c r="B28" t="str">
        <x:v>Operating FCFF discount rate / WACC</x:v>
      </x:c>
      <x:c r="C28" s="354" t="n">
        <x:f>Cost_Of_Capital!C20</x:f>
        <x:v>0.12081440999999998</x:v>
      </x:c>
      <x:c r="D28" s="314"/>
      <x:c r="E28" s="314"/>
      <x:c r="F28" s="314"/>
      <x:c r="G28" s="314"/>
      <x:c r="H28" s="314"/>
      <x:c r="I28" s="314"/>
    </x:row>
    <x:row r="29" ht="20" customHeight="1">
      <x:c r="B29" t="str">
        <x:v>Terminal growth assumption</x:v>
      </x:c>
      <x:c r="C29" s="354" t="n">
        <x:f>Cost_Of_Capital!C21</x:f>
        <x:v>0.04</x:v>
      </x:c>
      <x:c r="D29" s="314"/>
      <x:c r="E29" s="314"/>
      <x:c r="F29" s="314"/>
      <x:c r="G29" s="314"/>
      <x:c r="H29" s="314"/>
      <x:c r="I29" s="314"/>
    </x:row>
    <x:row r="30" ht="20" customHeight="1">
      <x:c r="B30" t="str">
        <x:v>Hotels quoted stake after holding discount</x:v>
      </x:c>
      <x:c r="C30" s="347" t="n">
        <x:f>SOTP!E16</x:f>
        <x:v>12766.684725</x:v>
      </x:c>
      <x:c r="D30" s="314"/>
      <x:c r="E30" s="314"/>
      <x:c r="F30" s="314"/>
      <x:c r="G30" s="314"/>
      <x:c r="H30" s="314"/>
      <x:c r="I30" s="314"/>
    </x:row>
    <x:row r="31" ht="20" customHeight="1">
      <x:c r="B31" t="str">
        <x:v>Century-adjusted financial investment and net debt</x:v>
      </x:c>
      <x:c r="C31" s="347" t="n">
        <x:f>SOTP!E26</x:f>
        <x:v>13018.889000000003</x:v>
      </x:c>
      <x:c r="D31" s="314"/>
      <x:c r="E31" s="314"/>
      <x:c r="F31" s="314"/>
      <x:c r="G31" s="314"/>
      <x:c r="H31" s="314"/>
      <x:c r="I31" s="314"/>
    </x:row>
    <x:row r="32" ht="20" customHeight="1">
      <x:c r="B32" t="str">
        <x:v>Operating tobacco share FY27 segment profits</x:v>
      </x:c>
      <x:c r="C32" s="354" t="n">
        <x:f>IFERROR(Segments!E21/Segments!E26,0)</x:f>
        <x:v>0.761572180436313</x:v>
      </x:c>
      <x:c r="D32" s="314"/>
      <x:c r="E32" s="314"/>
      <x:c r="F32" s="314"/>
      <x:c r="G32" s="314"/>
      <x:c r="H32" s="314"/>
      <x:c r="I32" s="314"/>
    </x:row>
    <x:row r="33" ht="20" customHeight="1">
      <x:c r="B33" t="str">
        <x:v>Active financial model scenario</x:v>
      </x:c>
      <x:c r="C33" s="347" t="str">
        <x:f>'Read Me'!D8</x:f>
        <x:v>Base</x:v>
      </x:c>
      <x:c r="D33" s="314"/>
      <x:c r="E33" s="314"/>
      <x:c r="F33" s="314"/>
      <x:c r="G33" s="314"/>
      <x:c r="H33" s="314"/>
      <x:c r="I33" s="314"/>
    </x:row>
    <x:row r="34" ht="20" customHeight="1">
      <x:c r="B34" t="str">
        <x:v>DCF terminal-value weight of operating EV</x:v>
      </x:c>
      <x:c r="C34" s="354" t="n">
        <x:f>DCF!C38</x:f>
        <x:v>0.7287312736506492</x:v>
      </x:c>
      <x:c r="D34" s="314"/>
      <x:c r="E34" s="314"/>
      <x:c r="F34" s="314"/>
      <x:c r="G34" s="314"/>
      <x:c r="H34" s="314"/>
      <x:c r="I34" s="314"/>
    </x:row>
    <x:row r="35" ht="20" customHeight="1">
      <x:c r="B35" t="str">
        <x:v>Mechanical balance sheet model check</x:v>
      </x:c>
      <x:c r="C35" s="347" t="n">
        <x:f>Model_Checks!I19</x:f>
        <x:v>0</x:v>
      </x:c>
      <x:c r="D35" s="314"/>
      <x:c r="E35" s="314"/>
      <x:c r="F35" s="314"/>
      <x:c r="G35" s="314"/>
      <x:c r="H35" s="314"/>
      <x:c r="I35" s="314"/>
    </x:row>
    <x:row r="36" ht="20" customHeight="1">
      <x:c r="C36" s="314"/>
      <x:c r="D36" s="314"/>
      <x:c r="E36" s="314"/>
      <x:c r="F36" s="314"/>
      <x:c r="G36" s="314"/>
      <x:c r="H36" s="314"/>
      <x:c r="I36" s="314"/>
    </x:row>
    <x:row r="37" ht="20" customHeight="1">
      <x:c r="C37" s="314"/>
      <x:c r="D37" s="314"/>
      <x:c r="E37" s="314"/>
      <x:c r="F37" s="314"/>
      <x:c r="G37" s="314"/>
      <x:c r="H37" s="314"/>
      <x:c r="I37" s="314"/>
    </x:row>
    <x:row r="38" ht="44" customHeight="1">
      <x:c r="B38" s="352" t="str">
        <x:v>HOW TO USE: Read Me!D8 selects Base/Bull/Bear and drives forecast operations and all three valuations. Yellow cells in Valuation_Inputs and SOTP are analyst judgment; all green workbook cross-links remain editable live formulas.</x:v>
      </x:c>
      <x:c r="C38" s="353"/>
      <x:c r="D38" s="353"/>
      <x:c r="E38" s="353"/>
      <x:c r="F38" s="353"/>
      <x:c r="G38" s="353"/>
      <x:c r="H38" s="353"/>
      <x:c r="I38" s="353"/>
    </x:row>
    <x:row r="39" ht="46" customHeight="1">
      <x:c r="B39" s="352" t="str">
        <x:v>RISK CONTROLS: Cigarette tax/volume forecasts, terminal value and peer multiple choice are highly sensitive. Base, Bull and Bear are scenario constructs, not probabilities or ratings. This report is educational analyst research, not personal investment advice.</x:v>
      </x:c>
      <x:c r="C39" s="353"/>
      <x:c r="D39" s="353"/>
      <x:c r="E39" s="353"/>
      <x:c r="F39" s="353"/>
      <x:c r="G39" s="353"/>
      <x:c r="H39" s="353"/>
      <x:c r="I39" s="353"/>
    </x:row>
    <x:row r="40" ht="41" customHeight="1">
      <x:c r="B40" s="352" t="str">
        <x:v>QUOTATION: completed-session NSE price on 25 Sep 2026; source and as-of dates are documented in Peer_Snapshot, Valuation_Inputs and Source Register. Hotels shareholding updated to 39.85%.</x:v>
      </x:c>
      <x:c r="C40" s="353"/>
      <x:c r="D40" s="353"/>
      <x:c r="E40" s="353"/>
      <x:c r="F40" s="353"/>
      <x:c r="G40" s="353"/>
      <x:c r="H40" s="353"/>
      <x:c r="I40" s="353"/>
    </x:row>
    <x:row r="41" ht="20" customHeight="1">
      <x:c r="C41" s="314"/>
      <x:c r="D41" s="314"/>
      <x:c r="E41" s="314"/>
      <x:c r="F41" s="314"/>
      <x:c r="G41" s="314"/>
      <x:c r="H41" s="314"/>
      <x:c r="I41" s="314"/>
    </x:row>
    <x:row r="42" ht="20" customHeight="1">
      <x:c r="C42" s="314"/>
      <x:c r="D42" s="314"/>
      <x:c r="E42" s="314"/>
      <x:c r="F42" s="314"/>
      <x:c r="G42" s="314"/>
      <x:c r="H42" s="314"/>
      <x:c r="I42" s="314"/>
    </x:row>
    <x:row r="43" ht="20" customHeight="1">
      <x:c r="C43" s="314"/>
      <x:c r="D43" s="314"/>
      <x:c r="E43" s="314"/>
      <x:c r="F43" s="314"/>
      <x:c r="G43" s="314"/>
      <x:c r="H43" s="314"/>
      <x:c r="I43" s="314"/>
    </x:row>
    <x:row r="44" ht="20" customHeight="1">
      <x:c r="C44" s="314"/>
      <x:c r="D44" s="314"/>
      <x:c r="E44" s="314"/>
      <x:c r="F44" s="314"/>
      <x:c r="G44" s="314"/>
      <x:c r="H44" s="314"/>
      <x:c r="I44" s="314"/>
    </x:row>
    <x:row r="45" ht="20" customHeight="1">
      <x:c r="C45" s="314"/>
      <x:c r="D45" s="314"/>
      <x:c r="E45" s="314"/>
      <x:c r="F45" s="314"/>
      <x:c r="G45" s="314"/>
      <x:c r="H45" s="314"/>
      <x:c r="I45" s="314"/>
    </x:row>
    <x:row r="46" ht="20" customHeight="1">
      <x:c r="C46" s="314"/>
      <x:c r="D46" s="314"/>
      <x:c r="E46" s="314"/>
      <x:c r="F46" s="314"/>
      <x:c r="G46" s="314"/>
      <x:c r="H46" s="314"/>
      <x:c r="I46" s="314"/>
    </x:row>
    <x:row r="47" ht="20" customHeight="1">
      <x:c r="C47" s="314"/>
      <x:c r="D47" s="314"/>
      <x:c r="E47" s="314"/>
      <x:c r="F47" s="314"/>
      <x:c r="G47" s="314"/>
      <x:c r="H47" s="314"/>
      <x:c r="I47" s="314"/>
    </x:row>
    <x:row r="48" ht="20" customHeight="1">
      <x:c r="C48" s="314"/>
      <x:c r="D48" s="314"/>
      <x:c r="E48" s="314"/>
      <x:c r="F48" s="314"/>
      <x:c r="G48" s="314"/>
      <x:c r="H48" s="314"/>
      <x:c r="I48" s="314"/>
    </x:row>
    <x:row r="49" ht="20" customHeight="1">
      <x:c r="C49" s="314"/>
      <x:c r="D49" s="314"/>
      <x:c r="E49" s="314"/>
      <x:c r="F49" s="314"/>
      <x:c r="G49" s="314"/>
      <x:c r="H49" s="314"/>
      <x:c r="I49" s="314"/>
    </x:row>
    <x:row r="50" ht="20" customHeight="1">
      <x:c r="C50" s="314"/>
      <x:c r="D50" s="314"/>
      <x:c r="E50" s="314"/>
      <x:c r="F50" s="314"/>
      <x:c r="G50" s="314"/>
      <x:c r="H50" s="314"/>
      <x:c r="I50" s="314"/>
    </x:row>
    <x:row r="51" ht="20" customHeight="1">
      <x:c r="C51" s="314"/>
      <x:c r="D51" s="314"/>
      <x:c r="E51" s="314"/>
      <x:c r="F51" s="314"/>
      <x:c r="G51" s="314"/>
      <x:c r="H51" s="314"/>
      <x:c r="I51" s="314"/>
    </x:row>
    <x:row r="52" ht="20" customHeight="1">
      <x:c r="C52" s="314"/>
      <x:c r="D52" s="314"/>
      <x:c r="E52" s="314"/>
      <x:c r="F52" s="314"/>
      <x:c r="G52" s="314"/>
      <x:c r="H52" s="314"/>
      <x:c r="I52" s="314"/>
    </x:row>
    <x:row r="53" ht="20" customHeight="1">
      <x:c r="C53" s="314"/>
      <x:c r="D53" s="314"/>
      <x:c r="E53" s="314"/>
      <x:c r="F53" s="314"/>
      <x:c r="G53" s="314"/>
      <x:c r="H53" s="314"/>
      <x:c r="I53" s="314"/>
    </x:row>
    <x:row r="54" ht="20" customHeight="1">
      <x:c r="C54" s="314"/>
      <x:c r="D54" s="314"/>
      <x:c r="E54" s="314"/>
      <x:c r="F54" s="314"/>
      <x:c r="G54" s="314"/>
      <x:c r="H54" s="314"/>
      <x:c r="I54" s="314"/>
    </x:row>
    <x:row r="55" ht="20" customHeight="1">
      <x:c r="C55" s="314"/>
      <x:c r="D55" s="314"/>
      <x:c r="E55" s="314"/>
      <x:c r="F55" s="314"/>
      <x:c r="G55" s="314"/>
      <x:c r="H55" s="314"/>
      <x:c r="I55" s="314"/>
    </x:row>
    <x:row r="56" ht="20" customHeight="1">
      <x:c r="C56" s="314"/>
      <x:c r="D56" s="314"/>
      <x:c r="E56" s="314"/>
      <x:c r="F56" s="314"/>
      <x:c r="G56" s="314"/>
      <x:c r="H56" s="314"/>
      <x:c r="I56" s="314"/>
    </x:row>
    <x:row r="57" ht="20" customHeight="1">
      <x:c r="C57" s="314"/>
      <x:c r="D57" s="314"/>
      <x:c r="E57" s="314"/>
      <x:c r="F57" s="314"/>
      <x:c r="G57" s="314"/>
      <x:c r="H57" s="314"/>
      <x:c r="I57" s="314"/>
    </x:row>
    <x:row r="58" ht="20" customHeight="1">
      <x:c r="C58" s="314"/>
      <x:c r="D58" s="314"/>
      <x:c r="E58" s="314"/>
      <x:c r="F58" s="314"/>
      <x:c r="G58" s="314"/>
      <x:c r="H58" s="314"/>
      <x:c r="I58" s="314"/>
    </x:row>
    <x:row r="59" ht="20" customHeight="1">
      <x:c r="C59" s="314"/>
      <x:c r="D59" s="314"/>
      <x:c r="E59" s="314"/>
      <x:c r="F59" s="314"/>
      <x:c r="G59" s="314"/>
      <x:c r="H59" s="314"/>
      <x:c r="I59" s="314"/>
    </x:row>
    <x:row r="60" ht="20" customHeight="1">
      <x:c r="C60" s="314"/>
      <x:c r="D60" s="314"/>
      <x:c r="E60" s="314"/>
      <x:c r="F60" s="314"/>
      <x:c r="G60" s="314"/>
      <x:c r="H60" s="314"/>
      <x:c r="I60" s="314"/>
    </x:row>
    <x:row r="61" ht="20" customHeight="1">
      <x:c r="C61" s="314"/>
      <x:c r="D61" s="314"/>
      <x:c r="E61" s="314"/>
      <x:c r="F61" s="314"/>
      <x:c r="G61" s="314"/>
      <x:c r="H61" s="314"/>
      <x:c r="I61" s="314"/>
    </x:row>
    <x:row r="62" ht="20" customHeight="1">
      <x:c r="C62" s="314"/>
      <x:c r="D62" s="314"/>
      <x:c r="E62" s="314"/>
      <x:c r="F62" s="314"/>
      <x:c r="G62" s="314"/>
      <x:c r="H62" s="314"/>
      <x:c r="I62" s="314"/>
    </x:row>
    <x:row r="63" ht="20" customHeight="1">
      <x:c r="C63" s="314"/>
      <x:c r="D63" s="314"/>
      <x:c r="E63" s="314"/>
      <x:c r="F63" s="314"/>
      <x:c r="G63" s="314"/>
      <x:c r="H63" s="314"/>
      <x:c r="I63" s="314"/>
    </x:row>
    <x:row r="64" ht="20" customHeight="1">
      <x:c r="C64" s="314"/>
      <x:c r="D64" s="314"/>
      <x:c r="E64" s="314"/>
      <x:c r="F64" s="314"/>
      <x:c r="G64" s="314"/>
      <x:c r="H64" s="314"/>
      <x:c r="I64" s="314"/>
    </x:row>
    <x:row r="65" ht="20" customHeight="1">
      <x:c r="C65" s="314"/>
      <x:c r="D65" s="314"/>
      <x:c r="E65" s="314"/>
      <x:c r="F65" s="314"/>
      <x:c r="G65" s="314"/>
      <x:c r="H65" s="314"/>
      <x:c r="I65" s="314"/>
    </x:row>
    <x:row r="66" ht="20" customHeight="1">
      <x:c r="C66" s="314"/>
      <x:c r="D66" s="314"/>
      <x:c r="E66" s="314"/>
      <x:c r="F66" s="314"/>
      <x:c r="G66" s="314"/>
      <x:c r="H66" s="314"/>
      <x:c r="I66" s="314"/>
    </x:row>
    <x:row r="67" ht="20" customHeight="1">
      <x:c r="C67" s="314"/>
      <x:c r="D67" s="314"/>
      <x:c r="E67" s="314"/>
      <x:c r="F67" s="314"/>
      <x:c r="G67" s="314"/>
      <x:c r="H67" s="314"/>
      <x:c r="I67" s="314"/>
    </x:row>
    <x:row r="68" ht="20" customHeight="1">
      <x:c r="C68" s="314"/>
      <x:c r="D68" s="314"/>
      <x:c r="E68" s="314"/>
      <x:c r="F68" s="314"/>
      <x:c r="G68" s="314"/>
      <x:c r="H68" s="314"/>
      <x:c r="I68" s="314"/>
    </x:row>
    <x:row r="69" ht="20" customHeight="1">
      <x:c r="C69" s="314"/>
      <x:c r="D69" s="314"/>
      <x:c r="E69" s="314"/>
      <x:c r="F69" s="314"/>
      <x:c r="G69" s="314"/>
      <x:c r="H69" s="314"/>
      <x:c r="I69" s="314"/>
    </x:row>
    <x:row r="70" ht="20" customHeight="1">
      <x:c r="C70" s="314"/>
      <x:c r="D70" s="314"/>
      <x:c r="E70" s="314"/>
      <x:c r="F70" s="314"/>
      <x:c r="G70" s="314"/>
      <x:c r="H70" s="314"/>
      <x:c r="I70" s="314"/>
    </x:row>
    <x:row r="71" ht="20" customHeight="1">
      <x:c r="C71" s="314"/>
      <x:c r="D71" s="314"/>
      <x:c r="E71" s="314"/>
      <x:c r="F71" s="314"/>
      <x:c r="G71" s="314"/>
      <x:c r="H71" s="314"/>
      <x:c r="I71" s="314"/>
    </x:row>
    <x:row r="72" ht="20" customHeight="1">
      <x:c r="C72" s="314"/>
      <x:c r="D72" s="314"/>
      <x:c r="E72" s="314"/>
      <x:c r="F72" s="314"/>
      <x:c r="G72" s="314"/>
      <x:c r="H72" s="314"/>
      <x:c r="I72" s="314"/>
    </x:row>
    <x:row r="73" ht="20" customHeight="1">
      <x:c r="C73" s="314"/>
      <x:c r="D73" s="314"/>
      <x:c r="E73" s="314"/>
      <x:c r="F73" s="314"/>
      <x:c r="G73" s="314"/>
      <x:c r="H73" s="314"/>
      <x:c r="I73" s="314"/>
    </x:row>
    <x:row r="74" ht="20" customHeight="1">
      <x:c r="C74" s="314"/>
      <x:c r="D74" s="314"/>
      <x:c r="E74" s="314"/>
      <x:c r="F74" s="314"/>
      <x:c r="G74" s="314"/>
      <x:c r="H74" s="314"/>
      <x:c r="I74" s="314"/>
    </x:row>
    <x:row r="75" ht="20" customHeight="1">
      <x:c r="C75" s="314"/>
      <x:c r="D75" s="314"/>
      <x:c r="E75" s="314"/>
      <x:c r="F75" s="314"/>
      <x:c r="G75" s="314"/>
      <x:c r="H75" s="314"/>
      <x:c r="I75" s="314"/>
    </x:row>
    <x:row r="76" ht="20" customHeight="1">
      <x:c r="C76" s="314"/>
      <x:c r="D76" s="314"/>
      <x:c r="E76" s="314"/>
      <x:c r="F76" s="314"/>
      <x:c r="G76" s="314"/>
      <x:c r="H76" s="314"/>
      <x:c r="I76" s="314"/>
    </x:row>
    <x:row r="77" ht="20" customHeight="1">
      <x:c r="C77" s="314"/>
      <x:c r="D77" s="314"/>
      <x:c r="E77" s="314"/>
      <x:c r="F77" s="314"/>
      <x:c r="G77" s="314"/>
      <x:c r="H77" s="314"/>
      <x:c r="I77" s="314"/>
    </x:row>
    <x:row r="78" ht="20" customHeight="1">
      <x:c r="C78" s="314"/>
      <x:c r="D78" s="314"/>
      <x:c r="E78" s="314"/>
      <x:c r="F78" s="314"/>
      <x:c r="G78" s="314"/>
      <x:c r="H78" s="314"/>
      <x:c r="I78" s="314"/>
    </x:row>
    <x:row r="79" ht="20" customHeight="1">
      <x:c r="C79" s="314"/>
      <x:c r="D79" s="314"/>
      <x:c r="E79" s="314"/>
      <x:c r="F79" s="314"/>
      <x:c r="G79" s="314"/>
      <x:c r="H79" s="314"/>
      <x:c r="I79" s="314"/>
    </x:row>
    <x:row r="80" ht="20" customHeight="1">
      <x:c r="C80" s="314"/>
      <x:c r="D80" s="314"/>
      <x:c r="E80" s="314"/>
      <x:c r="F80" s="314"/>
      <x:c r="G80" s="314"/>
      <x:c r="H80" s="314"/>
      <x:c r="I80" s="314"/>
    </x:row>
    <x:row r="81" ht="20" customHeight="1">
      <x:c r="C81" s="314"/>
      <x:c r="D81" s="314"/>
      <x:c r="E81" s="314"/>
      <x:c r="F81" s="314"/>
      <x:c r="G81" s="314"/>
      <x:c r="H81" s="314"/>
      <x:c r="I81" s="314"/>
    </x:row>
    <x:row r="82" ht="20" customHeight="1">
      <x:c r="C82" s="314"/>
      <x:c r="D82" s="314"/>
      <x:c r="E82" s="314"/>
      <x:c r="F82" s="314"/>
      <x:c r="G82" s="314"/>
      <x:c r="H82" s="314"/>
      <x:c r="I82" s="314"/>
    </x:row>
    <x:row r="83" ht="20" customHeight="1">
      <x:c r="C83" s="314"/>
      <x:c r="D83" s="314"/>
      <x:c r="E83" s="314"/>
      <x:c r="F83" s="314"/>
      <x:c r="G83" s="314"/>
      <x:c r="H83" s="314"/>
      <x:c r="I83" s="314"/>
    </x:row>
    <x:row r="84" ht="20" customHeight="1">
      <x:c r="C84" s="314"/>
      <x:c r="D84" s="314"/>
      <x:c r="E84" s="314"/>
      <x:c r="F84" s="314"/>
      <x:c r="G84" s="314"/>
      <x:c r="H84" s="314"/>
      <x:c r="I84" s="314"/>
    </x:row>
    <x:row r="85" ht="20" customHeight="1">
      <x:c r="C85" s="314"/>
      <x:c r="D85" s="314"/>
      <x:c r="E85" s="314"/>
      <x:c r="F85" s="314"/>
      <x:c r="G85" s="314"/>
      <x:c r="H85" s="314"/>
      <x:c r="I85" s="314"/>
    </x:row>
    <x:row r="86" ht="20" customHeight="1">
      <x:c r="C86" s="314"/>
      <x:c r="D86" s="314"/>
      <x:c r="E86" s="314"/>
      <x:c r="F86" s="314"/>
      <x:c r="G86" s="314"/>
      <x:c r="H86" s="314"/>
      <x:c r="I86" s="314"/>
    </x:row>
    <x:row r="87" ht="20" customHeight="1">
      <x:c r="C87" s="314"/>
      <x:c r="D87" s="314"/>
      <x:c r="E87" s="314"/>
      <x:c r="F87" s="314"/>
      <x:c r="G87" s="314"/>
      <x:c r="H87" s="314"/>
      <x:c r="I87" s="314"/>
    </x:row>
    <x:row r="88" ht="20" customHeight="1">
      <x:c r="C88" s="314"/>
      <x:c r="D88" s="314"/>
      <x:c r="E88" s="314"/>
      <x:c r="F88" s="314"/>
      <x:c r="G88" s="314"/>
      <x:c r="H88" s="314"/>
      <x:c r="I88" s="314"/>
    </x:row>
    <x:row r="89" ht="20" customHeight="1">
      <x:c r="C89" s="314"/>
      <x:c r="D89" s="314"/>
      <x:c r="E89" s="314"/>
      <x:c r="F89" s="314"/>
      <x:c r="G89" s="314"/>
      <x:c r="H89" s="314"/>
      <x:c r="I89" s="314"/>
    </x:row>
    <x:row r="90" ht="20" customHeight="1">
      <x:c r="C90" s="314"/>
      <x:c r="D90" s="314"/>
      <x:c r="E90" s="314"/>
      <x:c r="F90" s="314"/>
      <x:c r="G90" s="314"/>
      <x:c r="H90" s="314"/>
      <x:c r="I90" s="314"/>
    </x:row>
  </x:sheetData>
  <x:mergeCells>
    <x:mergeCell ref="B2:I2"/>
    <x:mergeCell ref="B3:I3"/>
    <x:mergeCell ref="B6:I6"/>
    <x:mergeCell ref="B13:I13"/>
    <x:mergeCell ref="B22:I22"/>
    <x:mergeCell ref="B38:I38"/>
    <x:mergeCell ref="B39:I39"/>
    <x:mergeCell ref="B40:I40"/>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3"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3"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4" hidden="0" customWidth="1"/>
  </x:cols>
  <x:sheetData>
    <x:row r="1" ht="19" customHeight="1"/>
    <x:row r="2" ht="35" customHeight="1">
      <x:c r="B2" s="482" t="str">
        <x:v>ITC LIMITED   /   INTERACTIVE EQUITY RESEARCH CHART BOOK</x:v>
      </x:c>
      <x:c r="C2" s="482"/>
      <x:c r="D2" s="482"/>
      <x:c r="E2" s="482"/>
      <x:c r="F2" s="482"/>
      <x:c r="G2" s="482"/>
      <x:c r="H2" s="482"/>
      <x:c r="I2" s="482"/>
      <x:c r="J2" s="482"/>
      <x:c r="K2" s="482"/>
      <x:c r="L2" s="482"/>
      <x:c r="M2" s="482"/>
      <x:c r="N2" s="482"/>
      <x:c r="O2" s="482"/>
      <x:c r="P2" s="482"/>
      <x:c r="Q2" s="482"/>
      <x:c r="R2" s="482"/>
      <x:c r="S2" s="482"/>
      <x:c r="T2" s="482"/>
      <x:c r="U2" s="482"/>
      <x:c r="V2" s="482"/>
      <x:c r="W2" s="482"/>
      <x:c r="X2" s="482"/>
    </x:row>
    <x:row r="3" ht="27" customHeight="1">
      <x:c r="B3" s="484" t="str">
        <x:v>TASK 4  •  Audited FY25–FY26  |  Analyst FY27–FY31  |  Market close: 25 Sep 2026  |  ₹ crore unless noted</x:v>
      </x:c>
      <x:c r="C3" s="484"/>
      <x:c r="D3" s="484"/>
      <x:c r="E3" s="484"/>
      <x:c r="F3" s="484"/>
      <x:c r="G3" s="484"/>
      <x:c r="H3" s="484"/>
      <x:c r="I3" s="484"/>
      <x:c r="J3" s="484"/>
      <x:c r="K3" s="484"/>
      <x:c r="L3" s="484"/>
      <x:c r="M3" s="484"/>
      <x:c r="N3" s="484"/>
      <x:c r="O3" s="484"/>
      <x:c r="P3" s="484"/>
      <x:c r="Q3" s="484"/>
      <x:c r="R3" s="484"/>
      <x:c r="S3" s="484"/>
      <x:c r="T3" s="484"/>
      <x:c r="U3" s="484"/>
      <x:c r="V3" s="484"/>
      <x:c r="W3" s="484"/>
      <x:c r="X3" s="484"/>
    </x:row>
    <x:row r="4" ht="19" customHeight="1"/>
    <x:row r="5" ht="27" customHeight="1">
      <x:c r="B5" s="485" t="str">
        <x:v>All charts are editable Excel objects; series point to formula-linked Chart_Data and update with Read Me!D8 (Base / Bull / Bear).</x:v>
      </x:c>
      <x:c r="C5" s="485"/>
      <x:c r="D5" s="485"/>
      <x:c r="E5" s="485"/>
      <x:c r="F5" s="485"/>
      <x:c r="G5" s="485"/>
      <x:c r="H5" s="485"/>
      <x:c r="I5" s="485"/>
      <x:c r="J5" s="485"/>
      <x:c r="K5" s="485"/>
      <x:c r="L5" s="485"/>
      <x:c r="M5" s="485"/>
      <x:c r="N5" s="485"/>
      <x:c r="O5" s="485"/>
      <x:c r="P5" s="485"/>
      <x:c r="Q5" s="485"/>
      <x:c r="R5" s="485"/>
      <x:c r="S5" s="485"/>
      <x:c r="T5" s="485"/>
      <x:c r="U5" s="485"/>
      <x:c r="V5" s="485"/>
      <x:c r="W5" s="485"/>
      <x:c r="X5" s="485"/>
    </x:row>
    <x:row r="6" ht="19" customHeight="1"/>
    <x:row r="7" ht="19" customHeight="1"/>
    <x:row r="8" ht="27" customHeight="1">
      <x:c r="B8" s="487" t="str">
        <x:v>01   BUSINESS MIX &amp; CIGARETTE TAX BRIDGE</x:v>
      </x:c>
      <x:c r="C8" s="487"/>
      <x:c r="D8" s="487"/>
      <x:c r="E8" s="487"/>
      <x:c r="F8" s="487"/>
      <x:c r="G8" s="487"/>
      <x:c r="H8" s="487"/>
      <x:c r="I8" s="487"/>
      <x:c r="J8" s="487"/>
      <x:c r="K8" s="487"/>
      <x:c r="L8" s="487"/>
      <x:c r="M8" s="487"/>
      <x:c r="N8" s="487"/>
      <x:c r="O8" s="487"/>
      <x:c r="P8" s="487"/>
      <x:c r="Q8" s="487"/>
      <x:c r="R8" s="487"/>
      <x:c r="S8" s="487"/>
      <x:c r="T8" s="487"/>
      <x:c r="U8" s="487"/>
      <x:c r="V8" s="487"/>
      <x:c r="W8" s="487"/>
      <x:c r="X8" s="487"/>
    </x:row>
    <x:row r="9" ht="19" customHeight="1"/>
    <x:row r="10" ht="19" customHeight="1"/>
    <x:row r="11" ht="19" customHeight="1"/>
    <x:row r="12" ht="19" customHeight="1"/>
    <x:row r="13" ht="19" customHeight="1"/>
    <x:row r="14" ht="19" customHeight="1"/>
    <x:row r="15" ht="19" customHeight="1"/>
    <x:row r="16" ht="19" customHeight="1"/>
    <x:row r="17" ht="19" customHeight="1"/>
    <x:row r="18" ht="19" customHeight="1"/>
    <x:row r="19" ht="19" customHeight="1"/>
    <x:row r="20" ht="19" customHeight="1"/>
    <x:row r="21" ht="19" customHeight="1"/>
    <x:row r="22" ht="19" customHeight="1"/>
    <x:row r="23" ht="19" customHeight="1"/>
    <x:row r="24" ht="19" customHeight="1"/>
    <x:row r="25" ht="19" customHeight="1"/>
    <x:row r="26" ht="19" customHeight="1"/>
    <x:row r="27" ht="19" customHeight="1"/>
    <x:row r="28" ht="19" customHeight="1"/>
    <x:row r="29" ht="19" customHeight="1"/>
    <x:row r="30" ht="29" customHeight="1">
      <x:c r="B30" s="495" t="str">
        <x:v>Accounting: reported gross turnover includes booked excise duty.</x:v>
      </x:c>
      <x:c r="C30" s="495"/>
      <x:c r="D30" s="495"/>
      <x:c r="E30" s="495"/>
      <x:c r="F30" s="495"/>
      <x:c r="G30" s="495"/>
      <x:c r="H30" s="495"/>
      <x:c r="I30" s="495"/>
      <x:c r="J30" s="495"/>
      <x:c r="K30" s="495"/>
      <x:c r="L30" s="495"/>
      <x:c r="N30" s="495" t="str">
        <x:v>Tax liability is not a proxy for cigarette volume.</x:v>
      </x:c>
      <x:c r="O30" s="495"/>
      <x:c r="P30" s="495"/>
      <x:c r="Q30" s="495"/>
      <x:c r="R30" s="495"/>
      <x:c r="S30" s="495"/>
      <x:c r="T30" s="495"/>
      <x:c r="U30" s="495"/>
      <x:c r="V30" s="495"/>
      <x:c r="W30" s="495"/>
      <x:c r="X30" s="495"/>
    </x:row>
    <x:row r="31" ht="19" customHeight="1"/>
    <x:row r="32" ht="19" customHeight="1"/>
    <x:row r="33" ht="19" customHeight="1"/>
    <x:row r="34" ht="19" customHeight="1"/>
    <x:row r="35" ht="19" customHeight="1"/>
    <x:row r="36" ht="19" customHeight="1"/>
    <x:row r="37" ht="19" customHeight="1"/>
    <x:row r="38" ht="19" customHeight="1"/>
    <x:row r="39" ht="19" customHeight="1"/>
    <x:row r="40" ht="19" customHeight="1"/>
    <x:row r="41" ht="19" customHeight="1"/>
    <x:row r="42" ht="19" customHeight="1"/>
    <x:row r="43" ht="19" customHeight="1"/>
    <x:row r="44" ht="19" customHeight="1"/>
    <x:row r="45" ht="19" customHeight="1"/>
    <x:row r="46" ht="19" customHeight="1"/>
    <x:row r="47" ht="19" customHeight="1"/>
    <x:row r="48" ht="19" customHeight="1"/>
    <x:row r="49" ht="19" customHeight="1"/>
    <x:row r="50" ht="19" customHeight="1"/>
    <x:row r="51" ht="19" customHeight="1"/>
    <x:row r="52" ht="19" customHeight="1"/>
    <x:row r="53" ht="29" customHeight="1">
      <x:c r="B53" s="495" t="str">
        <x:v>Cigarettes gross includes excise; segment turnover before eliminations.</x:v>
      </x:c>
      <x:c r="C53" s="495"/>
      <x:c r="D53" s="495"/>
      <x:c r="E53" s="495"/>
      <x:c r="F53" s="495"/>
      <x:c r="G53" s="495"/>
      <x:c r="H53" s="495"/>
      <x:c r="I53" s="495"/>
      <x:c r="J53" s="495"/>
      <x:c r="K53" s="495"/>
      <x:c r="L53" s="495"/>
      <x:c r="N53" s="495" t="str">
        <x:v>Segment EBIT/PBIT, not net profit attributable to owners.</x:v>
      </x:c>
      <x:c r="O53" s="495"/>
      <x:c r="P53" s="495"/>
      <x:c r="Q53" s="495"/>
      <x:c r="R53" s="495"/>
      <x:c r="S53" s="495"/>
      <x:c r="T53" s="495"/>
      <x:c r="U53" s="495"/>
      <x:c r="V53" s="495"/>
      <x:c r="W53" s="495"/>
      <x:c r="X53" s="495"/>
    </x:row>
    <x:row r="54" ht="19" customHeight="1"/>
    <x:row r="55" ht="19" customHeight="1"/>
    <x:row r="56" ht="19" customHeight="1"/>
    <x:row r="57" ht="19" customHeight="1"/>
    <x:row r="58" ht="19" customHeight="1"/>
    <x:row r="59" ht="19" customHeight="1"/>
    <x:row r="60" ht="19" customHeight="1"/>
    <x:row r="61" ht="19" customHeight="1"/>
    <x:row r="62" ht="19" customHeight="1"/>
    <x:row r="63" ht="19" customHeight="1"/>
    <x:row r="64" ht="19" customHeight="1"/>
    <x:row r="65" ht="19" customHeight="1"/>
    <x:row r="66" ht="19" customHeight="1"/>
    <x:row r="67" ht="19" customHeight="1"/>
    <x:row r="68" ht="19" customHeight="1"/>
    <x:row r="69" ht="19" customHeight="1"/>
    <x:row r="70" ht="19" customHeight="1"/>
    <x:row r="71" ht="19" customHeight="1"/>
    <x:row r="72" ht="19" customHeight="1"/>
    <x:row r="73" ht="19" customHeight="1"/>
    <x:row r="74" ht="19" customHeight="1"/>
    <x:row r="75" ht="19" customHeight="1"/>
    <x:row r="76" ht="29" customHeight="1">
      <x:c r="B76" s="495" t="str">
        <x:v>Proxy bridge only; the tax discontinuity distorts gross revenue growth.</x:v>
      </x:c>
      <x:c r="C76" s="495"/>
      <x:c r="D76" s="495"/>
      <x:c r="E76" s="495"/>
      <x:c r="F76" s="495"/>
      <x:c r="G76" s="495"/>
      <x:c r="H76" s="495"/>
      <x:c r="I76" s="495"/>
      <x:c r="J76" s="495"/>
      <x:c r="K76" s="495"/>
      <x:c r="L76" s="495"/>
      <x:c r="N76" s="495" t="str">
        <x:v>FY25–FY26 actual, FY27–FY31 analyst-led scenario.</x:v>
      </x:c>
      <x:c r="O76" s="495"/>
      <x:c r="P76" s="495"/>
      <x:c r="Q76" s="495"/>
      <x:c r="R76" s="495"/>
      <x:c r="S76" s="495"/>
      <x:c r="T76" s="495"/>
      <x:c r="U76" s="495"/>
      <x:c r="V76" s="495"/>
      <x:c r="W76" s="495"/>
      <x:c r="X76" s="495"/>
    </x:row>
    <x:row r="77" ht="19" customHeight="1"/>
    <x:row r="78" ht="19" customHeight="1"/>
    <x:row r="79" ht="19" customHeight="1"/>
    <x:row r="80" ht="27" customHeight="1">
      <x:c r="B80" s="487" t="str">
        <x:v>02   REVENUE DRIVERS &amp; PROFITABILITY</x:v>
      </x:c>
      <x:c r="C80" s="487"/>
      <x:c r="D80" s="487"/>
      <x:c r="E80" s="487"/>
      <x:c r="F80" s="487"/>
      <x:c r="G80" s="487"/>
      <x:c r="H80" s="487"/>
      <x:c r="I80" s="487"/>
      <x:c r="J80" s="487"/>
      <x:c r="K80" s="487"/>
      <x:c r="L80" s="487"/>
      <x:c r="M80" s="487"/>
      <x:c r="N80" s="487"/>
      <x:c r="O80" s="487"/>
      <x:c r="P80" s="487"/>
      <x:c r="Q80" s="487"/>
      <x:c r="R80" s="487"/>
      <x:c r="S80" s="487"/>
      <x:c r="T80" s="487"/>
      <x:c r="U80" s="487"/>
      <x:c r="V80" s="487"/>
      <x:c r="W80" s="487"/>
      <x:c r="X80" s="487"/>
    </x:row>
    <x:row r="81" ht="19" customHeight="1"/>
    <x:row r="82" ht="19" customHeight="1"/>
    <x:row r="83" ht="19" customHeight="1"/>
    <x:row r="84" ht="19" customHeight="1"/>
    <x:row r="85" ht="19" customHeight="1"/>
    <x:row r="86" ht="19" customHeight="1"/>
    <x:row r="87" ht="19" customHeight="1"/>
    <x:row r="88" ht="19" customHeight="1"/>
    <x:row r="89" ht="19" customHeight="1"/>
    <x:row r="90" ht="19" customHeight="1"/>
    <x:row r="91" ht="19" customHeight="1"/>
    <x:row r="92" ht="19" customHeight="1"/>
    <x:row r="93" ht="19" customHeight="1"/>
    <x:row r="94" ht="19" customHeight="1"/>
    <x:row r="95" ht="19" customHeight="1"/>
    <x:row r="96" ht="19" customHeight="1"/>
    <x:row r="97" ht="19" customHeight="1"/>
    <x:row r="98" ht="19" customHeight="1"/>
    <x:row r="99" ht="19" customHeight="1"/>
    <x:row r="100" ht="19" customHeight="1"/>
    <x:row r="101" ht="19" customHeight="1"/>
    <x:row r="102" ht="29" customHeight="1">
      <x:c r="B102" s="495" t="str">
        <x:v>See separate segments for operating margin and earnings.</x:v>
      </x:c>
      <x:c r="C102" s="495"/>
      <x:c r="D102" s="495"/>
      <x:c r="E102" s="495"/>
      <x:c r="F102" s="495"/>
      <x:c r="G102" s="495"/>
      <x:c r="H102" s="495"/>
      <x:c r="I102" s="495"/>
      <x:c r="J102" s="495"/>
      <x:c r="K102" s="495"/>
      <x:c r="L102" s="495"/>
      <x:c r="N102" s="495" t="str">
        <x:v>Century estimates start FY27E; not full audited FY26 contribution.</x:v>
      </x:c>
      <x:c r="O102" s="495"/>
      <x:c r="P102" s="495"/>
      <x:c r="Q102" s="495"/>
      <x:c r="R102" s="495"/>
      <x:c r="S102" s="495"/>
      <x:c r="T102" s="495"/>
      <x:c r="U102" s="495"/>
      <x:c r="V102" s="495"/>
      <x:c r="W102" s="495"/>
      <x:c r="X102" s="495"/>
    </x:row>
    <x:row r="103" ht="19" customHeight="1"/>
    <x:row r="104" ht="19" customHeight="1"/>
    <x:row r="105" ht="19" customHeight="1"/>
    <x:row r="106" ht="19" customHeight="1"/>
    <x:row r="107" ht="19" customHeight="1"/>
    <x:row r="108" ht="19" customHeight="1"/>
    <x:row r="109" ht="19" customHeight="1"/>
    <x:row r="110" ht="19" customHeight="1"/>
    <x:row r="111" ht="19" customHeight="1"/>
    <x:row r="112" ht="19" customHeight="1"/>
    <x:row r="113" ht="19" customHeight="1"/>
    <x:row r="114" ht="19" customHeight="1"/>
    <x:row r="115" ht="19" customHeight="1"/>
    <x:row r="116" ht="19" customHeight="1"/>
    <x:row r="117" ht="19" customHeight="1"/>
    <x:row r="118" ht="19" customHeight="1"/>
    <x:row r="119" ht="19" customHeight="1"/>
    <x:row r="120" ht="19" customHeight="1"/>
    <x:row r="121" ht="19" customHeight="1"/>
    <x:row r="122" ht="19" customHeight="1"/>
    <x:row r="123" ht="19" customHeight="1"/>
    <x:row r="124" ht="19" customHeight="1"/>
    <x:row r="125" ht="29" customHeight="1">
      <x:c r="B125" s="495" t="str">
        <x:v>The cigarette tax step-down drives the FY27E profit adjustment.</x:v>
      </x:c>
      <x:c r="C125" s="495"/>
      <x:c r="D125" s="495"/>
      <x:c r="E125" s="495"/>
      <x:c r="F125" s="495"/>
      <x:c r="G125" s="495"/>
      <x:c r="H125" s="495"/>
      <x:c r="I125" s="495"/>
      <x:c r="J125" s="495"/>
      <x:c r="K125" s="495"/>
      <x:c r="L125" s="495"/>
      <x:c r="N125" s="495" t="str">
        <x:v>Simple segment PBIT / segment sales, not net profit margin.</x:v>
      </x:c>
      <x:c r="O125" s="495"/>
      <x:c r="P125" s="495"/>
      <x:c r="Q125" s="495"/>
      <x:c r="R125" s="495"/>
      <x:c r="S125" s="495"/>
      <x:c r="T125" s="495"/>
      <x:c r="U125" s="495"/>
      <x:c r="V125" s="495"/>
      <x:c r="W125" s="495"/>
      <x:c r="X125" s="495"/>
    </x:row>
    <x:row r="126" ht="19" customHeight="1"/>
    <x:row r="127" ht="19" customHeight="1"/>
    <x:row r="128" ht="19" customHeight="1"/>
    <x:row r="129" ht="19" customHeight="1"/>
    <x:row r="130" ht="19" customHeight="1"/>
    <x:row r="131" ht="19" customHeight="1"/>
    <x:row r="132" ht="19" customHeight="1"/>
    <x:row r="133" ht="19" customHeight="1"/>
    <x:row r="134" ht="19" customHeight="1"/>
    <x:row r="135" ht="19" customHeight="1"/>
    <x:row r="136" ht="19" customHeight="1"/>
    <x:row r="137" ht="19" customHeight="1"/>
    <x:row r="138" ht="19" customHeight="1"/>
    <x:row r="139" ht="19" customHeight="1"/>
    <x:row r="140" ht="19" customHeight="1"/>
    <x:row r="141" ht="19" customHeight="1"/>
    <x:row r="142" ht="19" customHeight="1"/>
    <x:row r="143" ht="19" customHeight="1"/>
    <x:row r="144" ht="19" customHeight="1"/>
    <x:row r="145" ht="19" customHeight="1"/>
    <x:row r="146" ht="19" customHeight="1"/>
    <x:row r="147" ht="19" customHeight="1"/>
    <x:row r="148" ht="29" customHeight="1">
      <x:c r="B148" s="495" t="str">
        <x:v>YoY changes are comparable only after stripping out the changed excise.</x:v>
      </x:c>
      <x:c r="C148" s="495"/>
      <x:c r="D148" s="495"/>
      <x:c r="E148" s="495"/>
      <x:c r="F148" s="495"/>
      <x:c r="G148" s="495"/>
      <x:c r="H148" s="495"/>
      <x:c r="I148" s="495"/>
      <x:c r="J148" s="495"/>
      <x:c r="K148" s="495"/>
      <x:c r="L148" s="495"/>
      <x:c r="N148" s="495" t="str">
        <x:v>Exclude FY25 hotel demerger discontinued earnings.</x:v>
      </x:c>
      <x:c r="O148" s="495"/>
      <x:c r="P148" s="495"/>
      <x:c r="Q148" s="495"/>
      <x:c r="R148" s="495"/>
      <x:c r="S148" s="495"/>
      <x:c r="T148" s="495"/>
      <x:c r="U148" s="495"/>
      <x:c r="V148" s="495"/>
      <x:c r="W148" s="495"/>
      <x:c r="X148" s="495"/>
    </x:row>
    <x:row r="149" ht="19" customHeight="1"/>
    <x:row r="150" ht="19" customHeight="1"/>
    <x:row r="151" ht="19" customHeight="1"/>
    <x:row r="152" ht="27" customHeight="1">
      <x:c r="B152" s="487" t="str">
        <x:v>03   CASH CONVERSION &amp; CAPITAL ALLOCATION</x:v>
      </x:c>
      <x:c r="C152" s="487"/>
      <x:c r="D152" s="487"/>
      <x:c r="E152" s="487"/>
      <x:c r="F152" s="487"/>
      <x:c r="G152" s="487"/>
      <x:c r="H152" s="487"/>
      <x:c r="I152" s="487"/>
      <x:c r="J152" s="487"/>
      <x:c r="K152" s="487"/>
      <x:c r="L152" s="487"/>
      <x:c r="M152" s="487"/>
      <x:c r="N152" s="487"/>
      <x:c r="O152" s="487"/>
      <x:c r="P152" s="487"/>
      <x:c r="Q152" s="487"/>
      <x:c r="R152" s="487"/>
      <x:c r="S152" s="487"/>
      <x:c r="T152" s="487"/>
      <x:c r="U152" s="487"/>
      <x:c r="V152" s="487"/>
      <x:c r="W152" s="487"/>
      <x:c r="X152" s="487"/>
    </x:row>
    <x:row r="153" ht="19" customHeight="1"/>
    <x:row r="154" ht="19" customHeight="1"/>
    <x:row r="155" ht="19" customHeight="1"/>
    <x:row r="156" ht="19" customHeight="1"/>
    <x:row r="157" ht="19" customHeight="1"/>
    <x:row r="158" ht="19" customHeight="1"/>
    <x:row r="159" ht="19" customHeight="1"/>
    <x:row r="160" ht="19" customHeight="1"/>
    <x:row r="161" ht="19" customHeight="1"/>
    <x:row r="162" ht="19" customHeight="1"/>
    <x:row r="163" ht="19" customHeight="1"/>
    <x:row r="164" ht="19" customHeight="1"/>
    <x:row r="165" ht="19" customHeight="1"/>
    <x:row r="166" ht="19" customHeight="1"/>
    <x:row r="167" ht="19" customHeight="1"/>
    <x:row r="168" ht="19" customHeight="1"/>
    <x:row r="169" ht="19" customHeight="1"/>
    <x:row r="170" ht="19" customHeight="1"/>
    <x:row r="171" ht="19" customHeight="1"/>
    <x:row r="172" ht="19" customHeight="1"/>
    <x:row r="173" ht="19" customHeight="1"/>
    <x:row r="174" ht="29" customHeight="1">
      <x:c r="B174" s="495" t="str">
        <x:v>Capex is plotted as a positive outflow for easier comparison.</x:v>
      </x:c>
      <x:c r="C174" s="495"/>
      <x:c r="D174" s="495"/>
      <x:c r="E174" s="495"/>
      <x:c r="F174" s="495"/>
      <x:c r="G174" s="495"/>
      <x:c r="H174" s="495"/>
      <x:c r="I174" s="495"/>
      <x:c r="J174" s="495"/>
      <x:c r="K174" s="495"/>
      <x:c r="L174" s="495"/>
      <x:c r="N174" s="495" t="str">
        <x:v>Payout uses estimated cash distribution rather than declared DPS.</x:v>
      </x:c>
      <x:c r="O174" s="495"/>
      <x:c r="P174" s="495"/>
      <x:c r="Q174" s="495"/>
      <x:c r="R174" s="495"/>
      <x:c r="S174" s="495"/>
      <x:c r="T174" s="495"/>
      <x:c r="U174" s="495"/>
      <x:c r="V174" s="495"/>
      <x:c r="W174" s="495"/>
      <x:c r="X174" s="495"/>
    </x:row>
    <x:row r="175" ht="19" customHeight="1"/>
    <x:row r="176" ht="19" customHeight="1"/>
    <x:row r="177" ht="19" customHeight="1"/>
    <x:row r="178" ht="19" customHeight="1"/>
    <x:row r="179" ht="19" customHeight="1"/>
    <x:row r="180" ht="19" customHeight="1"/>
    <x:row r="181" ht="19" customHeight="1"/>
    <x:row r="182" ht="19" customHeight="1"/>
    <x:row r="183" ht="19" customHeight="1"/>
    <x:row r="184" ht="19" customHeight="1"/>
    <x:row r="185" ht="19" customHeight="1"/>
    <x:row r="186" ht="19" customHeight="1"/>
    <x:row r="187" ht="19" customHeight="1"/>
    <x:row r="188" ht="19" customHeight="1"/>
    <x:row r="189" ht="19" customHeight="1"/>
    <x:row r="190" ht="19" customHeight="1"/>
    <x:row r="191" ht="19" customHeight="1"/>
    <x:row r="192" ht="19" customHeight="1"/>
    <x:row r="193" ht="19" customHeight="1"/>
    <x:row r="194" ht="19" customHeight="1"/>
    <x:row r="195" ht="19" customHeight="1"/>
    <x:row r="196" ht="19" customHeight="1"/>
    <x:row r="197" ht="29" customHeight="1">
      <x:c r="B197" s="495" t="str">
        <x:v>Strategic/noncurrent investment portfolio excluded from liquid reserves.</x:v>
      </x:c>
      <x:c r="C197" s="495"/>
      <x:c r="D197" s="495"/>
      <x:c r="E197" s="495"/>
      <x:c r="F197" s="495"/>
      <x:c r="G197" s="495"/>
      <x:c r="H197" s="495"/>
      <x:c r="I197" s="495"/>
      <x:c r="J197" s="495"/>
      <x:c r="K197" s="495"/>
      <x:c r="L197" s="495"/>
      <x:c r="N197" s="495" t="str">
        <x:v>Closing balance sheet amounts, not average working-capital ratios.</x:v>
      </x:c>
      <x:c r="O197" s="495"/>
      <x:c r="P197" s="495"/>
      <x:c r="Q197" s="495"/>
      <x:c r="R197" s="495"/>
      <x:c r="S197" s="495"/>
      <x:c r="T197" s="495"/>
      <x:c r="U197" s="495"/>
      <x:c r="V197" s="495"/>
      <x:c r="W197" s="495"/>
      <x:c r="X197" s="495"/>
    </x:row>
    <x:row r="198" ht="19" customHeight="1"/>
    <x:row r="199" ht="19" customHeight="1"/>
    <x:row r="200" ht="19" customHeight="1"/>
    <x:row r="201" ht="19" customHeight="1"/>
    <x:row r="202" ht="19" customHeight="1"/>
    <x:row r="203" ht="19" customHeight="1"/>
    <x:row r="204" ht="19" customHeight="1"/>
    <x:row r="205" ht="19" customHeight="1"/>
    <x:row r="206" ht="19" customHeight="1"/>
    <x:row r="207" ht="19" customHeight="1"/>
    <x:row r="208" ht="19" customHeight="1"/>
    <x:row r="209" ht="19" customHeight="1"/>
    <x:row r="210" ht="19" customHeight="1"/>
    <x:row r="211" ht="19" customHeight="1"/>
    <x:row r="212" ht="19" customHeight="1"/>
    <x:row r="213" ht="19" customHeight="1"/>
    <x:row r="214" ht="19" customHeight="1"/>
    <x:row r="215" ht="19" customHeight="1"/>
    <x:row r="216" ht="19" customHeight="1"/>
    <x:row r="217" ht="19" customHeight="1"/>
    <x:row r="218" ht="19" customHeight="1"/>
    <x:row r="219" ht="19" customHeight="1"/>
    <x:row r="220" ht="29" customHeight="1">
      <x:c r="B220" s="495" t="str">
        <x:v>FY27+ payouts follow case-driven assumptions, not company guidance.</x:v>
      </x:c>
      <x:c r="C220" s="495"/>
      <x:c r="D220" s="495"/>
      <x:c r="E220" s="495"/>
      <x:c r="F220" s="495"/>
      <x:c r="G220" s="495"/>
      <x:c r="H220" s="495"/>
      <x:c r="I220" s="495"/>
      <x:c r="J220" s="495"/>
      <x:c r="K220" s="495"/>
      <x:c r="L220" s="495"/>
      <x:c r="N220" s="495" t="str">
        <x:v>Income_Statement margin uses net revenue after excise.</x:v>
      </x:c>
      <x:c r="O220" s="495"/>
      <x:c r="P220" s="495"/>
      <x:c r="Q220" s="495"/>
      <x:c r="R220" s="495"/>
      <x:c r="S220" s="495"/>
      <x:c r="T220" s="495"/>
      <x:c r="U220" s="495"/>
      <x:c r="V220" s="495"/>
      <x:c r="W220" s="495"/>
      <x:c r="X220" s="495"/>
    </x:row>
    <x:row r="221" ht="19" customHeight="1"/>
    <x:row r="222" ht="19" customHeight="1"/>
    <x:row r="223" ht="19" customHeight="1"/>
    <x:row r="224" ht="27" customHeight="1">
      <x:c r="B224" s="487" t="str">
        <x:v>04   VALUATION &amp; ASSUMPTION SENSITIVITY</x:v>
      </x:c>
      <x:c r="C224" s="487"/>
      <x:c r="D224" s="487"/>
      <x:c r="E224" s="487"/>
      <x:c r="F224" s="487"/>
      <x:c r="G224" s="487"/>
      <x:c r="H224" s="487"/>
      <x:c r="I224" s="487"/>
      <x:c r="J224" s="487"/>
      <x:c r="K224" s="487"/>
      <x:c r="L224" s="487"/>
      <x:c r="M224" s="487"/>
      <x:c r="N224" s="487"/>
      <x:c r="O224" s="487"/>
      <x:c r="P224" s="487"/>
      <x:c r="Q224" s="487"/>
      <x:c r="R224" s="487"/>
      <x:c r="S224" s="487"/>
      <x:c r="T224" s="487"/>
      <x:c r="U224" s="487"/>
      <x:c r="V224" s="487"/>
      <x:c r="W224" s="487"/>
      <x:c r="X224" s="487"/>
    </x:row>
    <x:row r="225" ht="19" customHeight="1"/>
    <x:row r="226" ht="19" customHeight="1"/>
    <x:row r="227" ht="19" customHeight="1"/>
    <x:row r="228" ht="19" customHeight="1"/>
    <x:row r="229" ht="19" customHeight="1"/>
    <x:row r="230" ht="19" customHeight="1"/>
    <x:row r="231" ht="19" customHeight="1"/>
    <x:row r="232" ht="19" customHeight="1"/>
    <x:row r="233" ht="19" customHeight="1"/>
    <x:row r="234" ht="19" customHeight="1"/>
    <x:row r="235" ht="19" customHeight="1"/>
    <x:row r="236" ht="19" customHeight="1"/>
    <x:row r="237" ht="19" customHeight="1"/>
    <x:row r="238" ht="19" customHeight="1"/>
    <x:row r="239" ht="19" customHeight="1"/>
    <x:row r="240" ht="19" customHeight="1"/>
    <x:row r="241" ht="19" customHeight="1"/>
    <x:row r="242" ht="19" customHeight="1"/>
    <x:row r="243" ht="19" customHeight="1"/>
    <x:row r="244" ht="19" customHeight="1"/>
    <x:row r="245" ht="19" customHeight="1"/>
    <x:row r="246" ht="29" customHeight="1">
      <x:c r="B246" s="495" t="str">
        <x:v>Informational estimates, not investment rating or price target.</x:v>
      </x:c>
      <x:c r="C246" s="495"/>
      <x:c r="D246" s="495"/>
      <x:c r="E246" s="495"/>
      <x:c r="F246" s="495"/>
      <x:c r="G246" s="495"/>
      <x:c r="H246" s="495"/>
      <x:c r="I246" s="495"/>
      <x:c r="J246" s="495"/>
      <x:c r="K246" s="495"/>
      <x:c r="L246" s="495"/>
      <x:c r="N246" s="495" t="str">
        <x:v>Excludes liquid financial bridge; view SOTP!E26 separately.</x:v>
      </x:c>
      <x:c r="O246" s="495"/>
      <x:c r="P246" s="495"/>
      <x:c r="Q246" s="495"/>
      <x:c r="R246" s="495"/>
      <x:c r="S246" s="495"/>
      <x:c r="T246" s="495"/>
      <x:c r="U246" s="495"/>
      <x:c r="V246" s="495"/>
      <x:c r="W246" s="495"/>
      <x:c r="X246" s="495"/>
    </x:row>
    <x:row r="247" ht="19" customHeight="1"/>
    <x:row r="248" ht="19" customHeight="1"/>
    <x:row r="249" ht="19" customHeight="1"/>
    <x:row r="250" ht="19" customHeight="1"/>
    <x:row r="251" ht="19" customHeight="1"/>
    <x:row r="252" ht="19" customHeight="1"/>
    <x:row r="253" ht="19" customHeight="1"/>
    <x:row r="254" ht="19" customHeight="1"/>
    <x:row r="255" ht="19" customHeight="1"/>
    <x:row r="256" ht="19" customHeight="1"/>
    <x:row r="257" ht="19" customHeight="1"/>
    <x:row r="258" ht="19" customHeight="1"/>
    <x:row r="259" ht="19" customHeight="1"/>
    <x:row r="260" ht="19" customHeight="1"/>
    <x:row r="261" ht="19" customHeight="1"/>
    <x:row r="262" ht="19" customHeight="1"/>
    <x:row r="263" ht="19" customHeight="1"/>
    <x:row r="264" ht="19" customHeight="1"/>
    <x:row r="265" ht="19" customHeight="1"/>
    <x:row r="266" ht="19" customHeight="1"/>
    <x:row r="267" ht="19" customHeight="1"/>
    <x:row r="268" ht="19" customHeight="1"/>
    <x:row r="269" ht="29" customHeight="1">
      <x:c r="B269" s="495" t="str">
        <x:v>FY27E contains a half-year cash-flow stub.</x:v>
      </x:c>
      <x:c r="C269" s="495"/>
      <x:c r="D269" s="495"/>
      <x:c r="E269" s="495"/>
      <x:c r="F269" s="495"/>
      <x:c r="G269" s="495"/>
      <x:c r="H269" s="495"/>
      <x:c r="I269" s="495"/>
      <x:c r="J269" s="495"/>
      <x:c r="K269" s="495"/>
      <x:c r="L269" s="495"/>
      <x:c r="N269" s="495" t="str">
        <x:v>All bars combine in DCF!C33; acquisition adjustment in financial bridge.</x:v>
      </x:c>
      <x:c r="O269" s="495"/>
      <x:c r="P269" s="495"/>
      <x:c r="Q269" s="495"/>
      <x:c r="R269" s="495"/>
      <x:c r="S269" s="495"/>
      <x:c r="T269" s="495"/>
      <x:c r="U269" s="495"/>
      <x:c r="V269" s="495"/>
      <x:c r="W269" s="495"/>
      <x:c r="X269" s="495"/>
    </x:row>
    <x:row r="270" ht="19" customHeight="1"/>
    <x:row r="271" ht="19" customHeight="1"/>
    <x:row r="272" ht="19" customHeight="1"/>
    <x:row r="273" ht="19" customHeight="1"/>
    <x:row r="274" ht="19" customHeight="1"/>
    <x:row r="275" ht="19" customHeight="1"/>
    <x:row r="276" ht="19" customHeight="1"/>
    <x:row r="277" ht="19" customHeight="1"/>
    <x:row r="278" ht="19" customHeight="1"/>
    <x:row r="279" ht="19" customHeight="1"/>
    <x:row r="280" ht="19" customHeight="1"/>
    <x:row r="281" ht="19" customHeight="1"/>
    <x:row r="282" ht="19" customHeight="1"/>
    <x:row r="283" ht="19" customHeight="1"/>
    <x:row r="284" ht="19" customHeight="1"/>
    <x:row r="285" ht="19" customHeight="1"/>
    <x:row r="286" ht="19" customHeight="1"/>
    <x:row r="287" ht="19" customHeight="1"/>
    <x:row r="288" ht="19" customHeight="1"/>
    <x:row r="289" ht="19" customHeight="1"/>
    <x:row r="290" ht="19" customHeight="1"/>
    <x:row r="291" ht="19" customHeight="1"/>
    <x:row r="292" ht="29" customHeight="1">
      <x:c r="B292" s="495" t="str">
        <x:v>Agri / Other are analyst multiples; other buckets are TTM observed comps.</x:v>
      </x:c>
      <x:c r="C292" s="495"/>
      <x:c r="D292" s="495"/>
      <x:c r="E292" s="495"/>
      <x:c r="F292" s="495"/>
      <x:c r="G292" s="495"/>
      <x:c r="H292" s="495"/>
      <x:c r="I292" s="495"/>
      <x:c r="J292" s="495"/>
      <x:c r="K292" s="495"/>
      <x:c r="L292" s="495"/>
      <x:c r="N292" s="495" t="str">
        <x:v>WACC categories are relative to active forecast WACC; base is center.</x:v>
      </x:c>
      <x:c r="O292" s="495"/>
      <x:c r="P292" s="495"/>
      <x:c r="Q292" s="495"/>
      <x:c r="R292" s="495"/>
      <x:c r="S292" s="495"/>
      <x:c r="T292" s="495"/>
      <x:c r="U292" s="495"/>
      <x:c r="V292" s="495"/>
      <x:c r="W292" s="495"/>
      <x:c r="X292" s="495"/>
    </x:row>
    <x:row r="293" ht="19" customHeight="1"/>
    <x:row r="294" ht="32" customHeight="1">
      <x:c r="B294" s="505" t="str">
        <x:v>SOURCE: Linked to model forecasts, audited historic tabs, valuation inputs and 25 Sep 2026 market reference; methodology and limitations are documented in model tabs.</x:v>
      </x:c>
      <x:c r="C294" s="505"/>
      <x:c r="D294" s="505"/>
      <x:c r="E294" s="505"/>
      <x:c r="F294" s="505"/>
      <x:c r="G294" s="505"/>
      <x:c r="H294" s="505"/>
      <x:c r="I294" s="505"/>
      <x:c r="J294" s="505"/>
      <x:c r="K294" s="505"/>
      <x:c r="L294" s="505"/>
      <x:c r="M294" s="505"/>
      <x:c r="N294" s="505"/>
      <x:c r="O294" s="505"/>
      <x:c r="P294" s="505"/>
      <x:c r="Q294" s="505"/>
      <x:c r="R294" s="505"/>
      <x:c r="S294" s="505"/>
      <x:c r="T294" s="505"/>
      <x:c r="U294" s="505"/>
      <x:c r="V294" s="505"/>
      <x:c r="W294" s="505"/>
      <x:c r="X294" s="505"/>
    </x:row>
    <x:row r="295" ht="32" customHeight="1">
      <x:c r="B295" s="505" t="str">
        <x:v>ACTUAL vs ESTIMATE: FY25A and FY26A are audited; FY27E–FY31E depend on analyst assumptions. Model sensitivity charts reprice live when scenario/assumptions change.</x:v>
      </x:c>
      <x:c r="C295" s="505"/>
      <x:c r="D295" s="505"/>
      <x:c r="E295" s="505"/>
      <x:c r="F295" s="505"/>
      <x:c r="G295" s="505"/>
      <x:c r="H295" s="505"/>
      <x:c r="I295" s="505"/>
      <x:c r="J295" s="505"/>
      <x:c r="K295" s="505"/>
      <x:c r="L295" s="505"/>
      <x:c r="M295" s="505"/>
      <x:c r="N295" s="505"/>
      <x:c r="O295" s="505"/>
      <x:c r="P295" s="505"/>
      <x:c r="Q295" s="505"/>
      <x:c r="R295" s="505"/>
      <x:c r="S295" s="505"/>
      <x:c r="T295" s="505"/>
      <x:c r="U295" s="505"/>
      <x:c r="V295" s="505"/>
      <x:c r="W295" s="505"/>
      <x:c r="X295" s="505"/>
    </x:row>
    <x:row r="296" ht="19" customHeight="1"/>
    <x:row r="297" ht="19" customHeight="1"/>
    <x:row r="298" ht="19" customHeight="1"/>
    <x:row r="299" ht="19" customHeight="1"/>
    <x:row r="300" ht="19" customHeight="1"/>
  </x:sheetData>
  <x:mergeCells>
    <x:mergeCell ref="B2:X2"/>
    <x:mergeCell ref="B3:X3"/>
    <x:mergeCell ref="B5:X5"/>
    <x:mergeCell ref="B8:X8"/>
    <x:mergeCell ref="B80:X80"/>
    <x:mergeCell ref="B152:X152"/>
    <x:mergeCell ref="B224:X224"/>
    <x:mergeCell ref="B30:L30"/>
    <x:mergeCell ref="N30:X30"/>
    <x:mergeCell ref="B53:L53"/>
    <x:mergeCell ref="N53:X53"/>
    <x:mergeCell ref="B76:L76"/>
    <x:mergeCell ref="N76:X76"/>
    <x:mergeCell ref="B102:L102"/>
    <x:mergeCell ref="N102:X102"/>
    <x:mergeCell ref="B125:L125"/>
    <x:mergeCell ref="N125:X125"/>
    <x:mergeCell ref="B148:L148"/>
    <x:mergeCell ref="N148:X148"/>
    <x:mergeCell ref="B174:L174"/>
    <x:mergeCell ref="N174:X174"/>
    <x:mergeCell ref="B197:L197"/>
    <x:mergeCell ref="N197:X197"/>
    <x:mergeCell ref="B220:L220"/>
    <x:mergeCell ref="N220:X220"/>
    <x:mergeCell ref="B246:L246"/>
    <x:mergeCell ref="N246:X246"/>
    <x:mergeCell ref="B269:L269"/>
    <x:mergeCell ref="N269:X269"/>
    <x:mergeCell ref="B292:L292"/>
    <x:mergeCell ref="N292:X292"/>
    <x:mergeCell ref="B294:X294"/>
    <x:mergeCell ref="B295:X295"/>
  </x:mergeCells>
  <x:pageMargins left="0.7" right="0.7" top="0.75" bottom="0.75" header="0.3" footer="0.3"/>
  <x:drawing xmlns:r="http://schemas.openxmlformats.org/officeDocument/2006/relationships" r:id="R8ca6a1bb7b5b49f3"/>
</x:worksheet>
</file>

<file path=xl/worksheets/sheet25.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51"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2" ht="34" customHeight="1">
      <x:c r="A2" s="488" t="str">
        <x:v>LINKED CHART DATA   /   AUDIT TRAIL</x:v>
      </x:c>
      <x:c r="B2" s="488"/>
      <x:c r="C2" s="488"/>
      <x:c r="D2" s="488"/>
      <x:c r="E2" s="488"/>
      <x:c r="F2" s="488"/>
      <x:c r="G2" s="488"/>
      <x:c r="H2" s="488"/>
      <x:c r="I2" s="488"/>
    </x:row>
    <x:row r="3" ht="28" customHeight="1">
      <x:c r="A3" s="484" t="str">
        <x:v>Green cells are direct intra-workbook links; black cells are local calculations. The values below are NEVER typed-over model outputs.</x:v>
      </x:c>
      <x:c r="B3" s="484"/>
      <x:c r="C3" s="484"/>
      <x:c r="D3" s="484"/>
      <x:c r="E3" s="484"/>
      <x:c r="F3" s="484"/>
      <x:c r="G3" s="484"/>
      <x:c r="H3" s="484"/>
      <x:c r="I3" s="484"/>
    </x:row>
    <x:row r="7" ht="25" customHeight="1">
      <x:c r="A7" s="489" t="str">
        <x:v>01   NET REVENUE VERSUS GROSS TURNOVER</x:v>
      </x:c>
      <x:c r="B7" s="489"/>
      <x:c r="C7" s="489"/>
    </x:row>
    <x:row r="8" ht="22" customHeight="1">
      <x:c r="A8" s="490" t="str">
        <x:v>PERIOD / BUCKET</x:v>
      </x:c>
      <x:c r="B8" s="490" t="str">
        <x:v>Gross revenue, incl excise</x:v>
      </x:c>
      <x:c r="C8" s="490" t="str">
        <x:v>Revenue after excise</x:v>
      </x:c>
    </x:row>
    <x:row r="9" ht="21" customHeight="1">
      <x:c r="A9" s="496" t="str">
        <x:v>FY25A</x:v>
      </x:c>
      <x:c r="B9" s="492" t="n">
        <x:f>Income_Statement!C7</x:f>
        <x:v>74236.07</x:v>
      </x:c>
      <x:c r="C9" s="492" t="n">
        <x:f>Income_Statement!C8</x:f>
        <x:v>69323.52</x:v>
      </x:c>
      <x:c r="I9" s="495" t="str">
        <x:v>Accounting: reported gross turnover includes booked excise duty.</x:v>
      </x:c>
    </x:row>
    <x:row r="10" ht="21" customHeight="1">
      <x:c r="A10" s="496" t="str">
        <x:v>FY26A</x:v>
      </x:c>
      <x:c r="B10" s="492" t="n">
        <x:f>Income_Statement!D7</x:f>
        <x:v>81640.11</x:v>
      </x:c>
      <x:c r="C10" s="492" t="n">
        <x:f>Income_Statement!D8</x:f>
        <x:v>71983.78</x:v>
      </x:c>
      <x:c r="I10" s="495"/>
    </x:row>
    <x:row r="11" ht="21" customHeight="1">
      <x:c r="A11" s="496" t="str">
        <x:v>FY27E</x:v>
      </x:c>
      <x:c r="B11" s="492" t="n">
        <x:f>Income_Statement!E7</x:f>
        <x:v>108878.90756218559</x:v>
      </x:c>
      <x:c r="C11" s="492" t="n">
        <x:f>Income_Statement!E8</x:f>
        <x:v>64640.91332218559</x:v>
      </x:c>
      <x:c r="I11" s="495"/>
    </x:row>
    <x:row r="12">
      <x:c r="A12" s="496" t="str">
        <x:v>FY28E</x:v>
      </x:c>
      <x:c r="B12" s="492" t="n">
        <x:f>Income_Statement!F7</x:f>
        <x:v>116306.67340280442</x:v>
      </x:c>
      <x:c r="C12" s="492" t="n">
        <x:f>Income_Statement!F8</x:f>
        <x:v>69644.29589336441</x:v>
      </x:c>
    </x:row>
    <x:row r="13">
      <x:c r="A13" s="496" t="str">
        <x:v>FY29E</x:v>
      </x:c>
      <x:c r="B13" s="492" t="n">
        <x:f>Income_Statement!G7</x:f>
        <x:v>124184.8819825003</x:v>
      </x:c>
      <x:c r="C13" s="492" t="n">
        <x:f>Income_Statement!G8</x:f>
        <x:v>74468.52554250564</x:v>
      </x:c>
    </x:row>
    <x:row r="14">
      <x:c r="A14" s="496" t="str">
        <x:v>FY30E</x:v>
      </x:c>
      <x:c r="B14" s="492" t="n">
        <x:f>Income_Statement!H7</x:f>
        <x:v>132619.18010413027</x:v>
      </x:c>
      <x:c r="C14" s="492" t="n">
        <x:f>Income_Statement!H8</x:f>
        <x:v>79370.8908420443</x:v>
      </x:c>
    </x:row>
    <x:row r="15">
      <x:c r="A15" s="496" t="str">
        <x:v>FY31E</x:v>
      </x:c>
      <x:c r="B15" s="492" t="n">
        <x:f>Income_Statement!I7</x:f>
        <x:v>141336.48149583762</x:v>
      </x:c>
      <x:c r="C15" s="492" t="n">
        <x:f>Income_Statement!I8</x:f>
        <x:v>84311.40635619339</x:v>
      </x:c>
    </x:row>
    <x:row r="19" ht="25" customHeight="1">
      <x:c r="A19" s="489" t="str">
        <x:v>02   EXCISE DUTY AND CIGARETTE EX-TAX SALES</x:v>
      </x:c>
      <x:c r="B19" s="489"/>
      <x:c r="C19" s="489"/>
    </x:row>
    <x:row r="20" ht="22" customHeight="1">
      <x:c r="A20" s="490" t="str">
        <x:v>PERIOD / BUCKET</x:v>
      </x:c>
      <x:c r="B20" s="490" t="str">
        <x:v>Booked excise</x:v>
      </x:c>
      <x:c r="C20" s="490" t="str">
        <x:v>Cigarettes ex excise</x:v>
      </x:c>
    </x:row>
    <x:row r="21" ht="21" customHeight="1">
      <x:c r="A21" s="496" t="str">
        <x:v>FY25A</x:v>
      </x:c>
      <x:c r="B21" s="492" t="n">
        <x:f>Segments!C8</x:f>
        <x:v>4912.55</x:v>
      </x:c>
      <x:c r="C21" s="492" t="n">
        <x:f>Segments!C7</x:f>
        <x:v>27718.72</x:v>
      </x:c>
      <x:c r="I21" s="495" t="str">
        <x:v>Tax liability is not a proxy for cigarette volume.</x:v>
      </x:c>
    </x:row>
    <x:row r="22" ht="21" customHeight="1">
      <x:c r="A22" s="496" t="str">
        <x:v>FY26A</x:v>
      </x:c>
      <x:c r="B22" s="492" t="n">
        <x:f>Segments!D8</x:f>
        <x:v>9656.33</x:v>
      </x:c>
      <x:c r="C22" s="492" t="n">
        <x:f>Segments!D7</x:f>
        <x:v>27443.32</x:v>
      </x:c>
      <x:c r="I22" s="495"/>
    </x:row>
    <x:row r="23" ht="21" customHeight="1">
      <x:c r="A23" s="496" t="str">
        <x:v>FY27E</x:v>
      </x:c>
      <x:c r="B23" s="492" t="n">
        <x:f>Segments!E8</x:f>
        <x:v>44237.99424</x:v>
      </x:c>
      <x:c r="C23" s="492" t="n">
        <x:f>Segments!E7</x:f>
        <x:v>23530.848</x:v>
      </x:c>
      <x:c r="I23" s="495"/>
    </x:row>
    <x:row r="24">
      <x:c r="A24" s="496" t="str">
        <x:v>FY28E</x:v>
      </x:c>
      <x:c r="B24" s="492" t="n">
        <x:f>Segments!F8</x:f>
        <x:v>46662.377509440004</x:v>
      </x:c>
      <x:c r="C24" s="492" t="n">
        <x:f>Segments!F7</x:f>
        <x:v>24559.146057600003</x:v>
      </x:c>
    </x:row>
    <x:row r="25">
      <x:c r="A25" s="496" t="str">
        <x:v>FY29E</x:v>
      </x:c>
      <x:c r="B25" s="492" t="n">
        <x:f>Segments!G8</x:f>
        <x:v>49716.35643999467</x:v>
      </x:c>
      <x:c r="C25" s="492" t="n">
        <x:f>Segments!G7</x:f>
        <x:v>25893.93564583056</x:v>
      </x:c>
    </x:row>
    <x:row r="26">
      <x:c r="A26" s="496" t="str">
        <x:v>FY30E</x:v>
      </x:c>
      <x:c r="B26" s="492" t="n">
        <x:f>Segments!H8</x:f>
        <x:v>53248.289262085964</x:v>
      </x:c>
      <x:c r="C26" s="492" t="n">
        <x:f>Segments!H7</x:f>
        <x:v>27447.571784580396</x:v>
      </x:c>
    </x:row>
    <x:row r="27">
      <x:c r="A27" s="496" t="str">
        <x:v>FY31E</x:v>
      </x:c>
      <x:c r="B27" s="492" t="n">
        <x:f>Segments!I8</x:f>
        <x:v>57025.07513964423</x:v>
      </x:c>
      <x:c r="C27" s="492" t="n">
        <x:f>Segments!I7</x:f>
        <x:v>29094.42609165522</x:v>
      </x:c>
    </x:row>
    <x:row r="31" ht="25" customHeight="1">
      <x:c r="A31" s="489" t="str">
        <x:v>03   REVENUE BY SEGMENT: FY26 VS FY31E</x:v>
      </x:c>
      <x:c r="B31" s="489"/>
      <x:c r="C31" s="489"/>
    </x:row>
    <x:row r="32" ht="22" customHeight="1">
      <x:c r="A32" s="490" t="str">
        <x:v>PERIOD / BUCKET</x:v>
      </x:c>
      <x:c r="B32" s="490" t="str">
        <x:v>FY26A</x:v>
      </x:c>
      <x:c r="C32" s="490" t="str">
        <x:v>FY31E</x:v>
      </x:c>
    </x:row>
    <x:row r="33" ht="21" customHeight="1">
      <x:c r="A33" s="496" t="str">
        <x:v>Cigarettes gross</x:v>
      </x:c>
      <x:c r="B33" s="492" t="n">
        <x:f>Segments!D9</x:f>
        <x:v>37099.65</x:v>
      </x:c>
      <x:c r="C33" s="492" t="n">
        <x:f>Segments!I9</x:f>
        <x:v>86119.50123129945</x:v>
      </x:c>
      <x:c r="I33" s="495" t="str">
        <x:v>Cigarettes gross includes excise; segment turnover before eliminations.</x:v>
      </x:c>
    </x:row>
    <x:row r="34" ht="21" customHeight="1">
      <x:c r="A34" s="496" t="str">
        <x:v>FMCG Others</x:v>
      </x:c>
      <x:c r="B34" s="492" t="n">
        <x:f>Segments!D12</x:f>
        <x:v>24209.75</x:v>
      </x:c>
      <x:c r="C34" s="492" t="n">
        <x:f>Segments!I12</x:f>
        <x:v>38625.95239598702</x:v>
      </x:c>
      <x:c r="I34" s="495"/>
    </x:row>
    <x:row r="35" ht="21" customHeight="1">
      <x:c r="A35" s="496" t="str">
        <x:v>Agri</x:v>
      </x:c>
      <x:c r="B35" s="492" t="n">
        <x:f>Segments!D13</x:f>
        <x:v>20296.4</x:v>
      </x:c>
      <x:c r="C35" s="492" t="n">
        <x:f>Segments!I13</x:f>
        <x:v>25410.51308407501</x:v>
      </x:c>
      <x:c r="I35" s="495"/>
    </x:row>
    <x:row r="36">
      <x:c r="A36" s="496" t="str">
        <x:v>Paper incl Century</x:v>
      </x:c>
      <x:c r="B36" s="492" t="n">
        <x:f>Segments!D16</x:f>
        <x:v>8765.61</x:v>
      </x:c>
      <x:c r="C36" s="492" t="n">
        <x:f>Segments!I16</x:f>
        <x:v>13464.244464246003</x:v>
      </x:c>
    </x:row>
    <x:row r="37">
      <x:c r="A37" s="496" t="str">
        <x:v>Other</x:v>
      </x:c>
      <x:c r="B37" s="492" t="n">
        <x:f>Segments!D17</x:f>
        <x:v>341.79</x:v>
      </x:c>
      <x:c r="C37" s="492" t="n">
        <x:f>Segments!I17</x:f>
        <x:v>373.66413284606404</x:v>
      </x:c>
    </x:row>
    <x:row r="41" ht="25" customHeight="1">
      <x:c r="A41" s="489" t="str">
        <x:v>04   PBIT BY SEGMENT: FY26 VS FY31E</x:v>
      </x:c>
      <x:c r="B41" s="489"/>
      <x:c r="C41" s="489"/>
    </x:row>
    <x:row r="42" ht="22" customHeight="1">
      <x:c r="A42" s="490" t="str">
        <x:v>PERIOD / BUCKET</x:v>
      </x:c>
      <x:c r="B42" s="490" t="str">
        <x:v>FY26A</x:v>
      </x:c>
      <x:c r="C42" s="490" t="str">
        <x:v>FY31E</x:v>
      </x:c>
    </x:row>
    <x:row r="43" ht="21" customHeight="1">
      <x:c r="A43" s="496" t="str">
        <x:v>Cigarettes</x:v>
      </x:c>
      <x:c r="B43" s="492" t="n">
        <x:f>Segments!D21</x:f>
        <x:v>21051.12</x:v>
      </x:c>
      <x:c r="C43" s="492" t="n">
        <x:f>Segments!I21</x:f>
        <x:v>18765.90482911762</x:v>
      </x:c>
      <x:c r="I43" s="495" t="str">
        <x:v>Segment EBIT/PBIT, not net profit attributable to owners.</x:v>
      </x:c>
    </x:row>
    <x:row r="44" ht="21" customHeight="1">
      <x:c r="A44" s="496" t="str">
        <x:v>FMCG Others</x:v>
      </x:c>
      <x:c r="B44" s="492" t="n">
        <x:f>Segments!D22</x:f>
        <x:v>1802.63</x:v>
      </x:c>
      <x:c r="C44" s="492" t="n">
        <x:f>Segments!I22</x:f>
        <x:v>4248.854763558572</x:v>
      </x:c>
      <x:c r="I44" s="495"/>
    </x:row>
    <x:row r="45" ht="21" customHeight="1">
      <x:c r="A45" s="496" t="str">
        <x:v>Agri</x:v>
      </x:c>
      <x:c r="B45" s="492" t="n">
        <x:f>Segments!D23</x:f>
        <x:v>1496.46</x:v>
      </x:c>
      <x:c r="C45" s="492" t="n">
        <x:f>Segments!I23</x:f>
        <x:v>1905.7884813056257</x:v>
      </x:c>
      <x:c r="I45" s="495"/>
    </x:row>
    <x:row r="46">
      <x:c r="A46" s="496" t="str">
        <x:v>Paper incl Century</x:v>
      </x:c>
      <x:c r="B46" s="492" t="n">
        <x:f>Segments!D24</x:f>
        <x:v>796.71</x:v>
      </x:c>
      <x:c r="C46" s="492" t="n">
        <x:f>Segments!I24</x:f>
        <x:v>1211.7820017821402</x:v>
      </x:c>
    </x:row>
    <x:row r="47">
      <x:c r="A47" s="496" t="str">
        <x:v>Other</x:v>
      </x:c>
      <x:c r="B47" s="492" t="n">
        <x:f>Segments!D25</x:f>
        <x:v>-8.06</x:v>
      </x:c>
      <x:c r="C47" s="492" t="n">
        <x:f>Segments!I25</x:f>
        <x:v>0</x:v>
      </x:c>
    </x:row>
    <x:row r="51" ht="25" customHeight="1">
      <x:c r="A51" s="489" t="str">
        <x:v>05   CIGARETTE REVENUE AND EXCISE SPLIT</x:v>
      </x:c>
      <x:c r="B51" s="489"/>
      <x:c r="C51" s="489"/>
      <x:c r="D51" s="489"/>
    </x:row>
    <x:row r="52" ht="22" customHeight="1">
      <x:c r="A52" s="490" t="str">
        <x:v>PERIOD / BUCKET</x:v>
      </x:c>
      <x:c r="B52" s="490" t="str">
        <x:v>Ex-excise cigar revenue</x:v>
      </x:c>
      <x:c r="C52" s="490" t="str">
        <x:v>Excise amount</x:v>
      </x:c>
      <x:c r="D52" s="490" t="str">
        <x:v>Gross cigarette turnover</x:v>
      </x:c>
    </x:row>
    <x:row r="53" ht="21" customHeight="1">
      <x:c r="A53" s="496" t="str">
        <x:v>FY25A</x:v>
      </x:c>
      <x:c r="B53" s="492" t="n">
        <x:f>Segments!C7</x:f>
        <x:v>27718.72</x:v>
      </x:c>
      <x:c r="C53" s="492" t="n">
        <x:f>Segments!C8</x:f>
        <x:v>4912.55</x:v>
      </x:c>
      <x:c r="D53" s="492" t="n">
        <x:f>Segments!C9</x:f>
        <x:v>32631.27</x:v>
      </x:c>
      <x:c r="I53" s="495" t="str">
        <x:v>Proxy bridge only; the tax discontinuity distorts gross revenue growth.</x:v>
      </x:c>
    </x:row>
    <x:row r="54" ht="21" customHeight="1">
      <x:c r="A54" s="496" t="str">
        <x:v>FY26A</x:v>
      </x:c>
      <x:c r="B54" s="492" t="n">
        <x:f>Segments!D7</x:f>
        <x:v>27443.32</x:v>
      </x:c>
      <x:c r="C54" s="492" t="n">
        <x:f>Segments!D8</x:f>
        <x:v>9656.33</x:v>
      </x:c>
      <x:c r="D54" s="492" t="n">
        <x:f>Segments!D9</x:f>
        <x:v>37099.65</x:v>
      </x:c>
      <x:c r="I54" s="495"/>
    </x:row>
    <x:row r="55" ht="21" customHeight="1">
      <x:c r="A55" s="496" t="str">
        <x:v>FY27E</x:v>
      </x:c>
      <x:c r="B55" s="492" t="n">
        <x:f>Segments!E7</x:f>
        <x:v>23530.848</x:v>
      </x:c>
      <x:c r="C55" s="492" t="n">
        <x:f>Segments!E8</x:f>
        <x:v>44237.99424</x:v>
      </x:c>
      <x:c r="D55" s="492" t="n">
        <x:f>Segments!E9</x:f>
        <x:v>67768.84224</x:v>
      </x:c>
      <x:c r="I55" s="495"/>
    </x:row>
    <x:row r="56">
      <x:c r="A56" s="496" t="str">
        <x:v>FY28E</x:v>
      </x:c>
      <x:c r="B56" s="492" t="n">
        <x:f>Segments!F7</x:f>
        <x:v>24559.146057600003</x:v>
      </x:c>
      <x:c r="C56" s="492" t="n">
        <x:f>Segments!F8</x:f>
        <x:v>46662.377509440004</x:v>
      </x:c>
      <x:c r="D56" s="492" t="n">
        <x:f>Segments!F9</x:f>
        <x:v>71221.52356704001</x:v>
      </x:c>
    </x:row>
    <x:row r="57">
      <x:c r="A57" s="496" t="str">
        <x:v>FY29E</x:v>
      </x:c>
      <x:c r="B57" s="492" t="n">
        <x:f>Segments!G7</x:f>
        <x:v>25893.93564583056</x:v>
      </x:c>
      <x:c r="C57" s="492" t="n">
        <x:f>Segments!G8</x:f>
        <x:v>49716.35643999467</x:v>
      </x:c>
      <x:c r="D57" s="492" t="n">
        <x:f>Segments!G9</x:f>
        <x:v>75610.29208582523</x:v>
      </x:c>
    </x:row>
    <x:row r="58">
      <x:c r="A58" s="496" t="str">
        <x:v>FY30E</x:v>
      </x:c>
      <x:c r="B58" s="492" t="n">
        <x:f>Segments!H7</x:f>
        <x:v>27447.571784580396</x:v>
      </x:c>
      <x:c r="C58" s="492" t="n">
        <x:f>Segments!H8</x:f>
        <x:v>53248.289262085964</x:v>
      </x:c>
      <x:c r="D58" s="492" t="n">
        <x:f>Segments!H9</x:f>
        <x:v>80695.86104666637</x:v>
      </x:c>
    </x:row>
    <x:row r="59">
      <x:c r="A59" s="496" t="str">
        <x:v>FY31E</x:v>
      </x:c>
      <x:c r="B59" s="492" t="n">
        <x:f>Segments!I7</x:f>
        <x:v>29094.42609165522</x:v>
      </x:c>
      <x:c r="C59" s="492" t="n">
        <x:f>Segments!I8</x:f>
        <x:v>57025.07513964423</x:v>
      </x:c>
      <x:c r="D59" s="492" t="n">
        <x:f>Segments!I9</x:f>
        <x:v>86119.50123129945</x:v>
      </x:c>
    </x:row>
    <x:row r="63" ht="25" customHeight="1">
      <x:c r="A63" s="489" t="str">
        <x:v>06   CIGARETTES SHARE OF SEGMENT PROFIT</x:v>
      </x:c>
      <x:c r="B63" s="489"/>
    </x:row>
    <x:row r="64" ht="22" customHeight="1">
      <x:c r="A64" s="490" t="str">
        <x:v>PERIOD / BUCKET</x:v>
      </x:c>
      <x:c r="B64" s="490" t="str">
        <x:v>Cigarette share of segment PBIT</x:v>
      </x:c>
    </x:row>
    <x:row r="65" ht="21" customHeight="1">
      <x:c r="A65" s="496" t="str">
        <x:v>FY25A</x:v>
      </x:c>
      <x:c r="B65" s="498" t="n">
        <x:f>IFERROR(Segments!C21/Segments!C26,0)</x:f>
        <x:v>0.8323556295247291</x:v>
      </x:c>
      <x:c r="I65" s="495" t="str">
        <x:v>FY25–FY26 actual, FY27–FY31 analyst-led scenario.</x:v>
      </x:c>
    </x:row>
    <x:row r="66" ht="21" customHeight="1">
      <x:c r="A66" s="496" t="str">
        <x:v>FY26A</x:v>
      </x:c>
      <x:c r="B66" s="498" t="n">
        <x:f>IFERROR(Segments!D21/Segments!D26,0)</x:f>
        <x:v>0.8373935810931761</x:v>
      </x:c>
      <x:c r="I66" s="495"/>
    </x:row>
    <x:row r="67" ht="21" customHeight="1">
      <x:c r="A67" s="496" t="str">
        <x:v>FY27E</x:v>
      </x:c>
      <x:c r="B67" s="498" t="n">
        <x:f>IFERROR(Segments!E21/Segments!E26,0)</x:f>
        <x:v>0.761572180436313</x:v>
      </x:c>
      <x:c r="I67" s="495"/>
    </x:row>
    <x:row r="68">
      <x:c r="A68" s="496" t="str">
        <x:v>FY28E</x:v>
      </x:c>
      <x:c r="B68" s="498" t="n">
        <x:f>IFERROR(Segments!F21/Segments!F26,0)</x:f>
        <x:v>0.7450458067737082</x:v>
      </x:c>
    </x:row>
    <x:row r="69">
      <x:c r="A69" s="496" t="str">
        <x:v>FY29E</x:v>
      </x:c>
      <x:c r="B69" s="498" t="n">
        <x:f>IFERROR(Segments!G21/Segments!G26,0)</x:f>
        <x:v>0.7327017873398496</x:v>
      </x:c>
    </x:row>
    <x:row r="70">
      <x:c r="A70" s="496" t="str">
        <x:v>FY30E</x:v>
      </x:c>
      <x:c r="B70" s="498" t="n">
        <x:f>IFERROR(Segments!H21/Segments!H26,0)</x:f>
        <x:v>0.7249286625379012</x:v>
      </x:c>
    </x:row>
    <x:row r="71">
      <x:c r="A71" s="496" t="str">
        <x:v>FY31E</x:v>
      </x:c>
      <x:c r="B71" s="498" t="n">
        <x:f>IFERROR(Segments!I21/Segments!I26,0)</x:f>
        <x:v>0.7181106611890602</x:v>
      </x:c>
    </x:row>
    <x:row r="75" ht="25" customHeight="1">
      <x:c r="A75" s="489" t="str">
        <x:v>07   NON-CIGARETTE SEGMENT SALES</x:v>
      </x:c>
      <x:c r="B75" s="489"/>
      <x:c r="C75" s="489"/>
    </x:row>
    <x:row r="76" ht="22" customHeight="1">
      <x:c r="A76" s="490" t="str">
        <x:v>PERIOD / BUCKET</x:v>
      </x:c>
      <x:c r="B76" s="490" t="str">
        <x:v>FMCG Others revenue</x:v>
      </x:c>
      <x:c r="C76" s="490" t="str">
        <x:v>Agri revenue</x:v>
      </x:c>
    </x:row>
    <x:row r="77" ht="21" customHeight="1">
      <x:c r="A77" s="496" t="str">
        <x:v>FY25A</x:v>
      </x:c>
      <x:c r="B77" s="492" t="n">
        <x:f>Segments!C12</x:f>
        <x:v>21981.57</x:v>
      </x:c>
      <x:c r="C77" s="492" t="n">
        <x:f>Segments!C13</x:f>
        <x:v>19753.8</x:v>
      </x:c>
      <x:c r="I77" s="495" t="str">
        <x:v>See separate segments for operating margin and earnings.</x:v>
      </x:c>
    </x:row>
    <x:row r="78" ht="21" customHeight="1">
      <x:c r="A78" s="496" t="str">
        <x:v>FY26A</x:v>
      </x:c>
      <x:c r="B78" s="492" t="n">
        <x:f>Segments!D12</x:f>
        <x:v>24209.75</x:v>
      </x:c>
      <x:c r="C78" s="492" t="n">
        <x:f>Segments!D13</x:f>
        <x:v>20296.4</x:v>
      </x:c>
      <x:c r="I78" s="495"/>
    </x:row>
    <x:row r="79" ht="21" customHeight="1">
      <x:c r="A79" s="496" t="str">
        <x:v>FY27E</x:v>
      </x:c>
      <x:c r="B79" s="492" t="n">
        <x:f>Segments!E12</x:f>
        <x:v>26872.822500000002</x:v>
      </x:c>
      <x:c r="C79" s="492" t="n">
        <x:f>Segments!E13</x:f>
        <x:v>20905.292</x:v>
      </x:c>
      <x:c r="I79" s="495"/>
    </x:row>
    <x:row r="80">
      <x:c r="A80" s="496" t="str">
        <x:v>FY28E</x:v>
      </x:c>
      <x:c r="B80" s="492" t="n">
        <x:f>Segments!F12</x:f>
        <x:v>29828.832975000005</x:v>
      </x:c>
      <x:c r="C80" s="492" t="n">
        <x:f>Segments!F13</x:f>
        <x:v>21950.556600000004</x:v>
      </x:c>
    </x:row>
    <x:row r="81">
      <x:c r="A81" s="496" t="str">
        <x:v>FY29E</x:v>
      </x:c>
      <x:c r="B81" s="492" t="n">
        <x:f>Segments!G12</x:f>
        <x:v>32811.71627250001</x:v>
      </x:c>
      <x:c r="C81" s="492" t="n">
        <x:f>Segments!G13</x:f>
        <x:v>23048.084430000006</x:v>
      </x:c>
    </x:row>
    <x:row r="82">
      <x:c r="A82" s="496" t="str">
        <x:v>FY30E</x:v>
      </x:c>
      <x:c r="B82" s="492" t="n">
        <x:f>Segments!H12</x:f>
        <x:v>35764.770737025014</x:v>
      </x:c>
      <x:c r="C82" s="492" t="n">
        <x:f>Segments!H13</x:f>
        <x:v>24200.488651500007</x:v>
      </x:c>
    </x:row>
    <x:row r="83">
      <x:c r="A83" s="496" t="str">
        <x:v>FY31E</x:v>
      </x:c>
      <x:c r="B83" s="492" t="n">
        <x:f>Segments!I12</x:f>
        <x:v>38625.95239598702</x:v>
      </x:c>
      <x:c r="C83" s="492" t="n">
        <x:f>Segments!I13</x:f>
        <x:v>25410.51308407501</x:v>
      </x:c>
    </x:row>
    <x:row r="87" ht="25" customHeight="1">
      <x:c r="A87" s="489" t="str">
        <x:v>08   PAPER CAPACITY AND CENTURY UPLIFT</x:v>
      </x:c>
      <x:c r="B87" s="489"/>
      <x:c r="C87" s="489"/>
    </x:row>
    <x:row r="88" ht="22" customHeight="1">
      <x:c r="A88" s="490" t="str">
        <x:v>PERIOD / BUCKET</x:v>
      </x:c>
      <x:c r="B88" s="490" t="str">
        <x:v>Legacy paper revenue</x:v>
      </x:c>
      <x:c r="C88" s="490" t="str">
        <x:v>Century incremental revenue</x:v>
      </x:c>
    </x:row>
    <x:row r="89" ht="21" customHeight="1">
      <x:c r="A89" s="496" t="str">
        <x:v>FY25A</x:v>
      </x:c>
      <x:c r="B89" s="492" t="n">
        <x:f>Segments!C14</x:f>
        <x:v>8422.81</x:v>
      </x:c>
      <x:c r="C89" s="492" t="n">
        <x:f>Segments!C15</x:f>
        <x:v>0</x:v>
      </x:c>
      <x:c r="I89" s="495" t="str">
        <x:v>Century estimates start FY27E; not full audited FY26 contribution.</x:v>
      </x:c>
    </x:row>
    <x:row r="90" ht="21" customHeight="1">
      <x:c r="A90" s="496" t="str">
        <x:v>FY26A</x:v>
      </x:c>
      <x:c r="B90" s="492" t="n">
        <x:f>Segments!D14</x:f>
        <x:v>8765.61</x:v>
      </x:c>
      <x:c r="C90" s="492" t="n">
        <x:f>Segments!D15</x:f>
        <x:v>0</x:v>
      </x:c>
      <x:c r="I90" s="495"/>
    </x:row>
    <x:row r="91" ht="21" customHeight="1">
      <x:c r="A91" s="496" t="str">
        <x:v>FY27E</x:v>
      </x:c>
      <x:c r="B91" s="492" t="n">
        <x:f>Segments!E14</x:f>
        <x:v>8940.9222</x:v>
      </x:c>
      <x:c r="C91" s="492" t="n">
        <x:f>Segments!E15</x:f>
        <x:v>1500</x:v>
      </x:c>
      <x:c r="I91" s="495"/>
    </x:row>
    <x:row r="92">
      <x:c r="A92" s="496" t="str">
        <x:v>FY28E</x:v>
      </x:c>
      <x:c r="B92" s="492" t="n">
        <x:f>Segments!F14</x:f>
        <x:v>9298.559088000002</x:v>
      </x:c>
      <x:c r="C92" s="492" t="n">
        <x:f>Segments!F15</x:f>
        <x:v>2300</x:v>
      </x:c>
    </x:row>
    <x:row r="93">
      <x:c r="A93" s="496" t="str">
        <x:v>FY29E</x:v>
      </x:c>
      <x:c r="B93" s="492" t="n">
        <x:f>Segments!G14</x:f>
        <x:v>9763.487042400002</x:v>
      </x:c>
      <x:c r="C93" s="492" t="n">
        <x:f>Segments!G15</x:f>
        <x:v>2500</x:v>
      </x:c>
    </x:row>
    <x:row r="94">
      <x:c r="A94" s="496" t="str">
        <x:v>FY30E</x:v>
      </x:c>
      <x:c r="B94" s="492" t="n">
        <x:f>Segments!H14</x:f>
        <x:v>10251.661394520002</x:v>
      </x:c>
      <x:c r="C94" s="492" t="n">
        <x:f>Segments!H15</x:f>
        <x:v>2600</x:v>
      </x:c>
    </x:row>
    <x:row r="95">
      <x:c r="A95" s="496" t="str">
        <x:v>FY31E</x:v>
      </x:c>
      <x:c r="B95" s="492" t="n">
        <x:f>Segments!I14</x:f>
        <x:v>10764.244464246003</x:v>
      </x:c>
      <x:c r="C95" s="492" t="n">
        <x:f>Segments!I15</x:f>
        <x:v>2700</x:v>
      </x:c>
    </x:row>
    <x:row r="99" ht="25" customHeight="1">
      <x:c r="A99" s="489" t="str">
        <x:v>09   CIGARETTE PBIT VERSUS FMCG PBIT</x:v>
      </x:c>
      <x:c r="B99" s="489"/>
      <x:c r="C99" s="489"/>
    </x:row>
    <x:row r="100" ht="22" customHeight="1">
      <x:c r="A100" s="490" t="str">
        <x:v>PERIOD / BUCKET</x:v>
      </x:c>
      <x:c r="B100" s="490" t="str">
        <x:v>Cigarettes</x:v>
      </x:c>
      <x:c r="C100" s="490" t="str">
        <x:v>FMCG Others</x:v>
      </x:c>
    </x:row>
    <x:row r="101" ht="21" customHeight="1">
      <x:c r="A101" s="496" t="str">
        <x:v>FY25A</x:v>
      </x:c>
      <x:c r="B101" s="492" t="n">
        <x:f>Segments!C21</x:f>
        <x:v>20024.87</x:v>
      </x:c>
      <x:c r="C101" s="492" t="n">
        <x:f>Segments!C22</x:f>
        <x:v>1579.66</x:v>
      </x:c>
      <x:c r="I101" s="495" t="str">
        <x:v>The cigarette tax step-down drives the FY27E profit adjustment.</x:v>
      </x:c>
    </x:row>
    <x:row r="102" ht="21" customHeight="1">
      <x:c r="A102" s="496" t="str">
        <x:v>FY26A</x:v>
      </x:c>
      <x:c r="B102" s="492" t="n">
        <x:f>Segments!D21</x:f>
        <x:v>21051.12</x:v>
      </x:c>
      <x:c r="C102" s="492" t="n">
        <x:f>Segments!D22</x:f>
        <x:v>1802.63</x:v>
      </x:c>
      <x:c r="I102" s="495"/>
    </x:row>
    <x:row r="103" ht="21" customHeight="1">
      <x:c r="A103" s="496" t="str">
        <x:v>FY27E</x:v>
      </x:c>
      <x:c r="B103" s="492" t="n">
        <x:f>Segments!E21</x:f>
        <x:v>14471.471520000001</x:v>
      </x:c>
      <x:c r="C103" s="492" t="n">
        <x:f>Segments!E22</x:f>
        <x:v>2284.1899125000004</x:v>
      </x:c>
      <x:c r="I103" s="495"/>
    </x:row>
    <x:row r="104">
      <x:c r="A104" s="496" t="str">
        <x:v>FY28E</x:v>
      </x:c>
      <x:c r="B104" s="492" t="n">
        <x:f>Segments!F21</x:f>
        <x:v>15349.466286000003</x:v>
      </x:c>
      <x:c r="C104" s="492" t="n">
        <x:f>Segments!F22</x:f>
        <x:v>2744.2526337000004</x:v>
      </x:c>
    </x:row>
    <x:row r="105">
      <x:c r="A105" s="496" t="str">
        <x:v>FY29E</x:v>
      </x:c>
      <x:c r="B105" s="492" t="n">
        <x:f>Segments!G21</x:f>
        <x:v>16313.179456873253</x:v>
      </x:c>
      <x:c r="C105" s="492" t="n">
        <x:f>Segments!G22</x:f>
        <x:v>3215.548194705001</x:v>
      </x:c>
    </x:row>
    <x:row r="106">
      <x:c r="A106" s="496" t="str">
        <x:v>FY30E</x:v>
      </x:c>
      <x:c r="B106" s="492" t="n">
        <x:f>Segments!H21</x:f>
        <x:v>17566.445942131453</x:v>
      </x:c>
      <x:c r="C106" s="492" t="n">
        <x:f>Segments!H22</x:f>
        <x:v>3719.5361566506012</x:v>
      </x:c>
    </x:row>
    <x:row r="107">
      <x:c r="A107" s="496" t="str">
        <x:v>FY31E</x:v>
      </x:c>
      <x:c r="B107" s="492" t="n">
        <x:f>Segments!I21</x:f>
        <x:v>18765.90482911762</x:v>
      </x:c>
      <x:c r="C107" s="492" t="n">
        <x:f>Segments!I22</x:f>
        <x:v>4248.854763558572</x:v>
      </x:c>
    </x:row>
    <x:row r="111" ht="25" customHeight="1">
      <x:c r="A111" s="489" t="str">
        <x:v>10   FMCG MARGIN PROGRESSION</x:v>
      </x:c>
      <x:c r="B111" s="489"/>
      <x:c r="C111" s="489"/>
    </x:row>
    <x:row r="112" ht="22" customHeight="1">
      <x:c r="A112" s="490" t="str">
        <x:v>PERIOD / BUCKET</x:v>
      </x:c>
      <x:c r="B112" s="490" t="str">
        <x:v>FMCG Others segment margin</x:v>
      </x:c>
      <x:c r="C112" s="490" t="str">
        <x:v>Paper segment margin</x:v>
      </x:c>
    </x:row>
    <x:row r="113" ht="21" customHeight="1">
      <x:c r="A113" s="496" t="str">
        <x:v>FY25A</x:v>
      </x:c>
      <x:c r="B113" s="498" t="n">
        <x:f>IFERROR(Segments!C22/Segments!C12,0)</x:f>
        <x:v>0.07186292880808787</x:v>
      </x:c>
      <x:c r="C113" s="498" t="n">
        <x:f>IFERROR(Segments!C24/Segments!C16,0)</x:f>
        <x:v>0.10821685399528187</x:v>
      </x:c>
      <x:c r="I113" s="495" t="str">
        <x:v>Simple segment PBIT / segment sales, not net profit margin.</x:v>
      </x:c>
    </x:row>
    <x:row r="114" ht="21" customHeight="1">
      <x:c r="A114" s="496" t="str">
        <x:v>FY26A</x:v>
      </x:c>
      <x:c r="B114" s="498" t="n">
        <x:f>IFERROR(Segments!D22/Segments!D12,0)</x:f>
        <x:v>0.07445884406076064</x:v>
      </x:c>
      <x:c r="C114" s="498" t="n">
        <x:f>IFERROR(Segments!D24/Segments!D16,0)</x:f>
        <x:v>0.09089042291409269</x:v>
      </x:c>
      <x:c r="I114" s="495"/>
    </x:row>
    <x:row r="115" ht="21" customHeight="1">
      <x:c r="A115" s="496" t="str">
        <x:v>FY27E</x:v>
      </x:c>
      <x:c r="B115" s="498" t="n">
        <x:f>IFERROR(Segments!E22/Segments!E12,0)</x:f>
        <x:v>0.085</x:v>
      </x:c>
      <x:c r="C115" s="498" t="n">
        <x:f>IFERROR(Segments!E24/Segments!E16,0)</x:f>
        <x:v>0.075</x:v>
      </x:c>
      <x:c r="I115" s="495"/>
    </x:row>
    <x:row r="116">
      <x:c r="A116" s="496" t="str">
        <x:v>FY28E</x:v>
      </x:c>
      <x:c r="B116" s="498" t="n">
        <x:f>IFERROR(Segments!F22/Segments!F12,0)</x:f>
        <x:v>0.092</x:v>
      </x:c>
      <x:c r="C116" s="498" t="n">
        <x:f>IFERROR(Segments!F24/Segments!F16,0)</x:f>
        <x:v>0.08</x:v>
      </x:c>
    </x:row>
    <x:row r="117">
      <x:c r="A117" s="496" t="str">
        <x:v>FY29E</x:v>
      </x:c>
      <x:c r="B117" s="498" t="n">
        <x:f>IFERROR(Segments!G22/Segments!G12,0)</x:f>
        <x:v>0.098</x:v>
      </x:c>
      <x:c r="C117" s="498" t="n">
        <x:f>IFERROR(Segments!G24/Segments!G16,0)</x:f>
        <x:v>0.084</x:v>
      </x:c>
    </x:row>
    <x:row r="118">
      <x:c r="A118" s="496" t="str">
        <x:v>FY30E</x:v>
      </x:c>
      <x:c r="B118" s="498" t="n">
        <x:f>IFERROR(Segments!H22/Segments!H12,0)</x:f>
        <x:v>0.104</x:v>
      </x:c>
      <x:c r="C118" s="498" t="n">
        <x:f>IFERROR(Segments!H24/Segments!H16,0)</x:f>
        <x:v>0.088</x:v>
      </x:c>
    </x:row>
    <x:row r="119">
      <x:c r="A119" s="496" t="str">
        <x:v>FY31E</x:v>
      </x:c>
      <x:c r="B119" s="498" t="n">
        <x:f>IFERROR(Segments!I22/Segments!I12,0)</x:f>
        <x:v>0.10999999999999999</x:v>
      </x:c>
      <x:c r="C119" s="498" t="n">
        <x:f>IFERROR(Segments!I24/Segments!I16,0)</x:f>
        <x:v>0.09</x:v>
      </x:c>
    </x:row>
    <x:row r="123" ht="25" customHeight="1">
      <x:c r="A123" s="489" t="str">
        <x:v>11   GROWTH: FMCG VERSUS NET REVENUE</x:v>
      </x:c>
      <x:c r="B123" s="489"/>
      <x:c r="C123" s="489"/>
    </x:row>
    <x:row r="124" ht="22" customHeight="1">
      <x:c r="A124" s="490" t="str">
        <x:v>PERIOD / BUCKET</x:v>
      </x:c>
      <x:c r="B124" s="490" t="str">
        <x:v>FMCG Others YoY</x:v>
      </x:c>
      <x:c r="C124" s="490" t="str">
        <x:v>Ex-excise net revenue YoY</x:v>
      </x:c>
    </x:row>
    <x:row r="125" ht="21" customHeight="1">
      <x:c r="A125" s="496" t="str">
        <x:v>FY25A</x:v>
      </x:c>
      <x:c r="B125" s="500"/>
      <x:c r="C125" s="500"/>
      <x:c r="I125" s="495" t="str">
        <x:v>YoY changes are comparable only after stripping out the changed excise.</x:v>
      </x:c>
    </x:row>
    <x:row r="126" ht="21" customHeight="1">
      <x:c r="A126" s="496" t="str">
        <x:v>FY26A</x:v>
      </x:c>
      <x:c r="B126" s="498" t="n">
        <x:f>IFERROR(Segments!D12/Segments!C12-1,0)</x:f>
        <x:v>0.10136582600787847</x:v>
      </x:c>
      <x:c r="C126" s="498" t="n">
        <x:f>IFERROR(Income_Statement!D8/Income_Statement!C8-1,0)</x:f>
        <x:v>0.038374566092431506</x:v>
      </x:c>
      <x:c r="I126" s="495"/>
    </x:row>
    <x:row r="127" ht="21" customHeight="1">
      <x:c r="A127" s="496" t="str">
        <x:v>FY27E</x:v>
      </x:c>
      <x:c r="B127" s="498" t="n">
        <x:f>IFERROR(Segments!E12/Segments!D12-1,0)</x:f>
        <x:v>0.1100000000000001</x:v>
      </x:c>
      <x:c r="C127" s="498" t="n">
        <x:f>IFERROR(Income_Statement!E8/Income_Statement!D8-1,0)</x:f>
        <x:v>-0.10200723937829348</x:v>
      </x:c>
      <x:c r="I127" s="495"/>
    </x:row>
    <x:row r="128">
      <x:c r="A128" s="496" t="str">
        <x:v>FY28E</x:v>
      </x:c>
      <x:c r="B128" s="498" t="n">
        <x:f>IFERROR(Segments!F12/Segments!E12-1,0)</x:f>
        <x:v>0.1100000000000001</x:v>
      </x:c>
      <x:c r="C128" s="498" t="n">
        <x:f>IFERROR(Income_Statement!F8/Income_Statement!E8-1,0)</x:f>
        <x:v>0.07740272087804168</x:v>
      </x:c>
    </x:row>
    <x:row r="129">
      <x:c r="A129" s="496" t="str">
        <x:v>FY29E</x:v>
      </x:c>
      <x:c r="B129" s="498" t="n">
        <x:f>IFERROR(Segments!G12/Segments!F12-1,0)</x:f>
        <x:v>0.10000000000000009</x:v>
      </x:c>
      <x:c r="C129" s="498" t="n">
        <x:f>IFERROR(Income_Statement!G8/Income_Statement!F8-1,0)</x:f>
        <x:v>0.06926955879527918</x:v>
      </x:c>
    </x:row>
    <x:row r="130">
      <x:c r="A130" s="496" t="str">
        <x:v>FY30E</x:v>
      </x:c>
      <x:c r="B130" s="498" t="n">
        <x:f>IFERROR(Segments!H12/Segments!G12-1,0)</x:f>
        <x:v>0.09000000000000008</x:v>
      </x:c>
      <x:c r="C130" s="498" t="n">
        <x:f>IFERROR(Income_Statement!H8/Income_Statement!G8-1,0)</x:f>
        <x:v>0.06583137323889221</x:v>
      </x:c>
    </x:row>
    <x:row r="131">
      <x:c r="A131" s="496" t="str">
        <x:v>FY31E</x:v>
      </x:c>
      <x:c r="B131" s="498" t="n">
        <x:f>IFERROR(Segments!I12/Segments!H12-1,0)</x:f>
        <x:v>0.08000000000000007</x:v>
      </x:c>
      <x:c r="C131" s="498" t="n">
        <x:f>IFERROR(Income_Statement!I8/Income_Statement!H8-1,0)</x:f>
        <x:v>0.062245937543792706</x:v>
      </x:c>
    </x:row>
    <x:row r="135" ht="25" customHeight="1">
      <x:c r="A135" s="489" t="str">
        <x:v>12   OPERATING PBIT AND CONTINUING PAT</x:v>
      </x:c>
      <x:c r="B135" s="489"/>
      <x:c r="C135" s="489"/>
    </x:row>
    <x:row r="136" ht="22" customHeight="1">
      <x:c r="A136" s="490" t="str">
        <x:v>PERIOD / BUCKET</x:v>
      </x:c>
      <x:c r="B136" s="490" t="str">
        <x:v>Segment operating PBIT</x:v>
      </x:c>
      <x:c r="C136" s="490" t="str">
        <x:v>Standalone continuing PAT</x:v>
      </x:c>
    </x:row>
    <x:row r="137" ht="21" customHeight="1">
      <x:c r="A137" s="496" t="str">
        <x:v>FY25A</x:v>
      </x:c>
      <x:c r="B137" s="492" t="n">
        <x:f>Income_Statement!C17</x:f>
        <x:v>24058.07</x:v>
      </x:c>
      <x:c r="C137" s="492" t="n">
        <x:f>Income_Statement!C25</x:f>
        <x:v>20091.85</x:v>
      </x:c>
      <x:c r="I137" s="495" t="str">
        <x:v>Exclude FY25 hotel demerger discontinued earnings.</x:v>
      </x:c>
    </x:row>
    <x:row r="138" ht="21" customHeight="1">
      <x:c r="A138" s="496" t="str">
        <x:v>FY26A</x:v>
      </x:c>
      <x:c r="B138" s="492" t="n">
        <x:f>Income_Statement!D17</x:f>
        <x:v>25138.859999999997</x:v>
      </x:c>
      <x:c r="C138" s="492" t="n">
        <x:f>Income_Statement!D25</x:f>
        <x:v>20286.420000000002</x:v>
      </x:c>
      <x:c r="I138" s="495"/>
    </x:row>
    <x:row r="139" ht="21" customHeight="1">
      <x:c r="A139" s="496" t="str">
        <x:v>FY27E</x:v>
      </x:c>
      <x:c r="B139" s="492" t="n">
        <x:f>Income_Statement!E17</x:f>
        <x:v>19002.1010375</x:v>
      </x:c>
      <x:c r="C139" s="492" t="n">
        <x:f>Income_Statement!E25</x:f>
        <x:v>15350.531576050002</x:v>
      </x:c>
      <x:c r="I139" s="495"/>
    </x:row>
    <x:row r="140">
      <x:c r="A140" s="496" t="str">
        <x:v>FY28E</x:v>
      </x:c>
      <x:c r="B140" s="492" t="n">
        <x:f>Income_Statement!F17</x:f>
        <x:v>20602.043721940005</x:v>
      </x:c>
      <x:c r="C140" s="492" t="n">
        <x:f>Income_Statement!F25</x:f>
        <x:v>16565.988704011124</x:v>
      </x:c>
    </x:row>
    <x:row r="141">
      <x:c r="A141" s="496" t="str">
        <x:v>FY29E</x:v>
      </x:c>
      <x:c r="B141" s="492" t="n">
        <x:f>Income_Statement!G17</x:f>
        <x:v>22264.418810959854</x:v>
      </x:c>
      <x:c r="C141" s="492" t="n">
        <x:f>Income_Statement!G25</x:f>
        <x:v>17828.145270597972</x:v>
      </x:c>
    </x:row>
    <x:row r="142">
      <x:c r="A142" s="496" t="str">
        <x:v>FY30E</x:v>
      </x:c>
      <x:c r="B142" s="492" t="n">
        <x:f>Income_Statement!H17</x:f>
        <x:v>24231.964950362315</x:v>
      </x:c>
      <x:c r="C142" s="492" t="n">
        <x:f>Income_Statement!H25</x:f>
        <x:v>19318.56978287101</x:v>
      </x:c>
    </x:row>
    <x:row r="143">
      <x:c r="A143" s="496" t="str">
        <x:v>FY31E</x:v>
      </x:c>
      <x:c r="B143" s="492" t="n">
        <x:f>Income_Statement!I17</x:f>
        <x:v>26132.330075763955</x:v>
      </x:c>
      <x:c r="C143" s="492" t="n">
        <x:f>Income_Statement!I25</x:f>
        <x:v>20758.74289667144</x:v>
      </x:c>
    </x:row>
    <x:row r="147" ht="25" customHeight="1">
      <x:c r="A147" s="489" t="str">
        <x:v>13   OPERATING CASH VERSUS CAPEX</x:v>
      </x:c>
      <x:c r="B147" s="489"/>
      <x:c r="C147" s="489"/>
    </x:row>
    <x:row r="148" ht="22" customHeight="1">
      <x:c r="A148" s="490" t="str">
        <x:v>PERIOD / BUCKET</x:v>
      </x:c>
      <x:c r="B148" s="490" t="str">
        <x:v>Operating cash flow</x:v>
      </x:c>
      <x:c r="C148" s="490" t="str">
        <x:v>Cash capital spend</x:v>
      </x:c>
    </x:row>
    <x:row r="149" ht="21" customHeight="1">
      <x:c r="A149" s="496" t="str">
        <x:v>FY25A</x:v>
      </x:c>
      <x:c r="B149" s="492" t="n">
        <x:f>Cash_Flow!C10</x:f>
        <x:v>16751.01</x:v>
      </x:c>
      <x:c r="C149" s="492" t="n">
        <x:f>Cash_Flow!C12</x:f>
        <x:v>1788.64</x:v>
      </x:c>
      <x:c r="I149" s="495" t="str">
        <x:v>Capex is plotted as a positive outflow for easier comparison.</x:v>
      </x:c>
    </x:row>
    <x:row r="150" ht="21" customHeight="1">
      <x:c r="A150" s="496" t="str">
        <x:v>FY26A</x:v>
      </x:c>
      <x:c r="B150" s="492" t="n">
        <x:f>Cash_Flow!D10</x:f>
        <x:v>17094.97</x:v>
      </x:c>
      <x:c r="C150" s="492" t="n">
        <x:f>Cash_Flow!D12</x:f>
        <x:v>2069.3</x:v>
      </x:c>
      <x:c r="I150" s="495"/>
    </x:row>
    <x:row r="151" ht="21" customHeight="1">
      <x:c r="A151" s="496" t="str">
        <x:v>FY27E</x:v>
      </x:c>
      <x:c r="B151" s="492" t="n">
        <x:f>Cash_Flow!E10</x:f>
        <x:v>17335.20905124501</x:v>
      </x:c>
      <x:c r="C151" s="492" t="n">
        <x:f>Cash_Flow!E12</x:f>
        <x:v>2600</x:v>
      </x:c>
      <x:c r="I151" s="495"/>
    </x:row>
    <x:row r="152">
      <x:c r="A152" s="496" t="str">
        <x:v>FY28E</x:v>
      </x:c>
      <x:c r="B152" s="492" t="n">
        <x:f>Cash_Flow!F10</x:f>
        <x:v>17619.71240641099</x:v>
      </x:c>
      <x:c r="C152" s="492" t="n">
        <x:f>Cash_Flow!F12</x:f>
        <x:v>2800</x:v>
      </x:c>
    </x:row>
    <x:row r="153">
      <x:c r="A153" s="496" t="str">
        <x:v>FY29E</x:v>
      </x:c>
      <x:c r="B153" s="492" t="n">
        <x:f>Cash_Flow!G10</x:f>
        <x:v>19130.021480659692</x:v>
      </x:c>
      <x:c r="C153" s="492" t="n">
        <x:f>Cash_Flow!G12</x:f>
        <x:v>2900</x:v>
      </x:c>
    </x:row>
    <x:row r="154">
      <x:c r="A154" s="496" t="str">
        <x:v>FY30E</x:v>
      </x:c>
      <x:c r="B154" s="492" t="n">
        <x:f>Cash_Flow!H10</x:f>
        <x:v>20588.030751329374</x:v>
      </x:c>
      <x:c r="C154" s="492" t="n">
        <x:f>Cash_Flow!H12</x:f>
        <x:v>3100</x:v>
      </x:c>
    </x:row>
    <x:row r="155">
      <x:c r="A155" s="496" t="str">
        <x:v>FY31E</x:v>
      </x:c>
      <x:c r="B155" s="492" t="n">
        <x:f>Cash_Flow!I10</x:f>
        <x:v>22226.135148990317</x:v>
      </x:c>
      <x:c r="C155" s="492" t="n">
        <x:f>Cash_Flow!I12</x:f>
        <x:v>3300</x:v>
      </x:c>
    </x:row>
    <x:row r="159" ht="25" customHeight="1">
      <x:c r="A159" s="489" t="str">
        <x:v>14   CASH GENERATED AFTER CAPEX VS PAYOUT</x:v>
      </x:c>
      <x:c r="B159" s="489"/>
      <x:c r="C159" s="489"/>
    </x:row>
    <x:row r="160" ht="22" customHeight="1">
      <x:c r="A160" s="490" t="str">
        <x:v>PERIOD / BUCKET</x:v>
      </x:c>
      <x:c r="B160" s="490" t="str">
        <x:v>Operating cash less capex</x:v>
      </x:c>
      <x:c r="C160" s="490" t="str">
        <x:v>Cash paid as dividends</x:v>
      </x:c>
    </x:row>
    <x:row r="161" ht="21" customHeight="1">
      <x:c r="A161" s="496" t="str">
        <x:v>FY25A</x:v>
      </x:c>
      <x:c r="B161" s="492" t="n">
        <x:f>Cash_Flow!C21</x:f>
        <x:v>14962.369999999999</x:v>
      </x:c>
      <x:c r="C161" s="492" t="n">
        <x:f>Cash_Flow!C13</x:f>
        <x:v>17477.2</x:v>
      </x:c>
      <x:c r="I161" s="495" t="str">
        <x:v>Payout uses estimated cash distribution rather than declared DPS.</x:v>
      </x:c>
    </x:row>
    <x:row r="162" ht="21" customHeight="1">
      <x:c r="A162" s="496" t="str">
        <x:v>FY26A</x:v>
      </x:c>
      <x:c r="B162" s="492" t="n">
        <x:f>Cash_Flow!D21</x:f>
        <x:v>15025.670000000002</x:v>
      </x:c>
      <x:c r="C162" s="492" t="n">
        <x:f>Cash_Flow!D13</x:f>
        <x:v>17967.58</x:v>
      </x:c>
      <x:c r="I162" s="495"/>
    </x:row>
    <x:row r="163" ht="21" customHeight="1">
      <x:c r="A163" s="496" t="str">
        <x:v>FY27E</x:v>
      </x:c>
      <x:c r="B163" s="492" t="n">
        <x:f>Cash_Flow!E21</x:f>
        <x:v>14735.209051245009</x:v>
      </x:c>
      <x:c r="C163" s="492" t="n">
        <x:f>Cash_Flow!E13</x:f>
        <x:v>13047.951839642501</x:v>
      </x:c>
      <x:c r="I163" s="495"/>
    </x:row>
    <x:row r="164">
      <x:c r="A164" s="496" t="str">
        <x:v>FY28E</x:v>
      </x:c>
      <x:c r="B164" s="492" t="n">
        <x:f>Cash_Flow!F21</x:f>
        <x:v>14819.712406410988</x:v>
      </x:c>
      <x:c r="C164" s="492" t="n">
        <x:f>Cash_Flow!F13</x:f>
        <x:v>13749.770624329232</x:v>
      </x:c>
    </x:row>
    <x:row r="165">
      <x:c r="A165" s="496" t="str">
        <x:v>FY29E</x:v>
      </x:c>
      <x:c r="B165" s="492" t="n">
        <x:f>Cash_Flow!G21</x:f>
        <x:v>16230.021480659692</x:v>
      </x:c>
      <x:c r="C165" s="492" t="n">
        <x:f>Cash_Flow!G13</x:f>
        <x:v>14619.079121890336</x:v>
      </x:c>
    </x:row>
    <x:row r="166">
      <x:c r="A166" s="496" t="str">
        <x:v>FY30E</x:v>
      </x:c>
      <x:c r="B166" s="492" t="n">
        <x:f>Cash_Flow!H21</x:f>
        <x:v>17488.030751329374</x:v>
      </x:c>
      <x:c r="C166" s="492" t="n">
        <x:f>Cash_Flow!H13</x:f>
        <x:v>15841.227221954228</x:v>
      </x:c>
    </x:row>
    <x:row r="167">
      <x:c r="A167" s="496" t="str">
        <x:v>FY31E</x:v>
      </x:c>
      <x:c r="B167" s="492" t="n">
        <x:f>Cash_Flow!I21</x:f>
        <x:v>18926.135148990317</x:v>
      </x:c>
      <x:c r="C167" s="492" t="n">
        <x:f>Cash_Flow!I13</x:f>
        <x:v>17022.16917527058</x:v>
      </x:c>
    </x:row>
    <x:row r="171" ht="25" customHeight="1">
      <x:c r="A171" s="489" t="str">
        <x:v>15   TREASURY RESERVES AND FUNDING</x:v>
      </x:c>
      <x:c r="B171" s="489"/>
      <x:c r="C171" s="489"/>
    </x:row>
    <x:row r="172" ht="22" customHeight="1">
      <x:c r="A172" s="490" t="str">
        <x:v>PERIOD / BUCKET</x:v>
      </x:c>
      <x:c r="B172" s="490" t="str">
        <x:v>Liquid current investments</x:v>
      </x:c>
      <x:c r="C172" s="490" t="str">
        <x:v>Current borrowings</x:v>
      </x:c>
    </x:row>
    <x:row r="173" ht="21" customHeight="1">
      <x:c r="A173" s="496" t="str">
        <x:v>FY25A</x:v>
      </x:c>
      <x:c r="B173" s="492" t="n">
        <x:f>Balance_Sheet!C6</x:f>
        <x:v>15285.91</x:v>
      </x:c>
      <x:c r="C173" s="492" t="n">
        <x:f>Balance_Sheet!C21</x:f>
        <x:v>1.76</x:v>
      </x:c>
      <x:c r="I173" s="495" t="str">
        <x:v>Strategic/noncurrent investment portfolio excluded from liquid reserves.</x:v>
      </x:c>
    </x:row>
    <x:row r="174" ht="21" customHeight="1">
      <x:c r="A174" s="496" t="str">
        <x:v>FY26A</x:v>
      </x:c>
      <x:c r="B174" s="492" t="n">
        <x:f>Balance_Sheet!D6</x:f>
        <x:v>19701.54</x:v>
      </x:c>
      <x:c r="C174" s="492" t="n">
        <x:f>Balance_Sheet!D21</x:f>
        <x:v>2026.22</x:v>
      </x:c>
      <x:c r="I174" s="495"/>
    </x:row>
    <x:row r="175" ht="21" customHeight="1">
      <x:c r="A175" s="496" t="str">
        <x:v>FY27E</x:v>
      </x:c>
      <x:c r="B175" s="492" t="n">
        <x:f>Balance_Sheet!E6</x:f>
        <x:v>17624.597211602508</x:v>
      </x:c>
      <x:c r="C175" s="492" t="n">
        <x:f>Balance_Sheet!E21</x:f>
        <x:v>1800</x:v>
      </x:c>
      <x:c r="I175" s="495"/>
    </x:row>
    <x:row r="176">
      <x:c r="A176" s="496" t="str">
        <x:v>FY28E</x:v>
      </x:c>
      <x:c r="B176" s="492" t="n">
        <x:f>Balance_Sheet!F6</x:f>
        <x:v>18494.538993684262</x:v>
      </x:c>
      <x:c r="C176" s="492" t="n">
        <x:f>Balance_Sheet!F21</x:f>
        <x:v>1600</x:v>
      </x:c>
    </x:row>
    <x:row r="177">
      <x:c r="A177" s="496" t="str">
        <x:v>FY29E</x:v>
      </x:c>
      <x:c r="B177" s="492" t="n">
        <x:f>Balance_Sheet!G6</x:f>
        <x:v>19905.481352453622</x:v>
      </x:c>
      <x:c r="C177" s="492" t="n">
        <x:f>Balance_Sheet!G21</x:f>
        <x:v>1400</x:v>
      </x:c>
    </x:row>
    <x:row r="178">
      <x:c r="A178" s="496" t="str">
        <x:v>FY30E</x:v>
      </x:c>
      <x:c r="B178" s="492" t="n">
        <x:f>Balance_Sheet!H6</x:f>
        <x:v>21352.284881828768</x:v>
      </x:c>
      <x:c r="C178" s="492" t="n">
        <x:f>Balance_Sheet!H21</x:f>
        <x:v>1200</x:v>
      </x:c>
    </x:row>
    <x:row r="179">
      <x:c r="A179" s="496" t="str">
        <x:v>FY31E</x:v>
      </x:c>
      <x:c r="B179" s="492" t="n">
        <x:f>Balance_Sheet!I6</x:f>
        <x:v>23056.250855548504</x:v>
      </x:c>
      <x:c r="C179" s="492" t="n">
        <x:f>Balance_Sheet!I21</x:f>
        <x:v>1000</x:v>
      </x:c>
    </x:row>
    <x:row r="183" ht="25" customHeight="1">
      <x:c r="A183" s="489" t="str">
        <x:v>16   OPERATING ASSET INTENSITY</x:v>
      </x:c>
      <x:c r="B183" s="489"/>
      <x:c r="C183" s="489"/>
      <x:c r="D183" s="489"/>
    </x:row>
    <x:row r="184" ht="22" customHeight="1">
      <x:c r="A184" s="490" t="str">
        <x:v>PERIOD / BUCKET</x:v>
      </x:c>
      <x:c r="B184" s="490" t="str">
        <x:v>Inventories</x:v>
      </x:c>
      <x:c r="C184" s="490" t="str">
        <x:v>Trade receivables</x:v>
      </x:c>
      <x:c r="D184" s="490" t="str">
        <x:v>Trade payables</x:v>
      </x:c>
    </x:row>
    <x:row r="185" ht="21" customHeight="1">
      <x:c r="A185" s="496" t="str">
        <x:v>FY25A</x:v>
      </x:c>
      <x:c r="B185" s="492" t="n">
        <x:f>Balance_Sheet!C10</x:f>
        <x:v>15061.01</x:v>
      </x:c>
      <x:c r="C185" s="492" t="n">
        <x:f>Balance_Sheet!C9</x:f>
        <x:v>3910.77</x:v>
      </x:c>
      <x:c r="D185" s="492" t="n">
        <x:f>Balance_Sheet!C23</x:f>
        <x:v>4489.82</x:v>
      </x:c>
      <x:c r="I185" s="495" t="str">
        <x:v>Closing balance sheet amounts, not average working-capital ratios.</x:v>
      </x:c>
    </x:row>
    <x:row r="186" ht="21" customHeight="1">
      <x:c r="A186" s="496" t="str">
        <x:v>FY26A</x:v>
      </x:c>
      <x:c r="B186" s="492" t="n">
        <x:f>Balance_Sheet!D10</x:f>
        <x:v>17931.9</x:v>
      </x:c>
      <x:c r="C186" s="492" t="n">
        <x:f>Balance_Sheet!D9</x:f>
        <x:v>2925.6</x:v>
      </x:c>
      <x:c r="D186" s="492" t="n">
        <x:f>Balance_Sheet!D23</x:f>
        <x:v>5271.9</x:v>
      </x:c>
      <x:c r="I186" s="495"/>
    </x:row>
    <x:row r="187" ht="21" customHeight="1">
      <x:c r="A187" s="496" t="str">
        <x:v>FY27E</x:v>
      </x:c>
      <x:c r="B187" s="492" t="n">
        <x:f>Balance_Sheet!E10</x:f>
        <x:v>16806.637463768253</x:v>
      </x:c>
      <x:c r="C187" s="492" t="n">
        <x:f>Balance_Sheet!E9</x:f>
        <x:v>2844.2001861761655</x:v>
      </x:c>
      <x:c r="D187" s="492" t="n">
        <x:f>Balance_Sheet!E23</x:f>
        <x:v>4848.068499163919</x:v>
      </x:c>
      <x:c r="I187" s="495"/>
    </x:row>
    <x:row r="188">
      <x:c r="A188" s="496" t="str">
        <x:v>FY28E</x:v>
      </x:c>
      <x:c r="B188" s="492" t="n">
        <x:f>Balance_Sheet!F10</x:f>
        <x:v>17759.295452807924</x:v>
      </x:c>
      <x:c r="C188" s="492" t="n">
        <x:f>Balance_Sheet!F9</x:f>
        <x:v>3133.993315201398</x:v>
      </x:c>
      <x:c r="D188" s="492" t="n">
        <x:f>Balance_Sheet!F23</x:f>
        <x:v>5223.322192002331</x:v>
      </x:c>
    </x:row>
    <x:row r="189">
      <x:c r="A189" s="496" t="str">
        <x:v>FY29E</x:v>
      </x:c>
      <x:c r="B189" s="492" t="n">
        <x:f>Balance_Sheet!G10</x:f>
        <x:v>18617.13138562641</x:v>
      </x:c>
      <x:c r="C189" s="492" t="n">
        <x:f>Balance_Sheet!G9</x:f>
        <x:v>3425.5521749552595</x:v>
      </x:c>
      <x:c r="D189" s="492" t="n">
        <x:f>Balance_Sheet!G23</x:f>
        <x:v>5659.607941230428</x:v>
      </x:c>
    </x:row>
    <x:row r="190">
      <x:c r="A190" s="496" t="str">
        <x:v>FY30E</x:v>
      </x:c>
      <x:c r="B190" s="492" t="n">
        <x:f>Balance_Sheet!H10</x:f>
        <x:v>19683.980928826986</x:v>
      </x:c>
      <x:c r="C190" s="492" t="n">
        <x:f>Balance_Sheet!H9</x:f>
        <x:v>3651.060978734038</x:v>
      </x:c>
      <x:c r="D190" s="492" t="n">
        <x:f>Balance_Sheet!H23</x:f>
        <x:v>6032.187703995367</x:v>
      </x:c>
    </x:row>
    <x:row r="191">
      <x:c r="A191" s="496" t="str">
        <x:v>FY31E</x:v>
      </x:c>
      <x:c r="B191" s="492" t="n">
        <x:f>Balance_Sheet!I10</x:f>
        <x:v>20656.294557267378</x:v>
      </x:c>
      <x:c r="C191" s="492" t="n">
        <x:f>Balance_Sheet!I9</x:f>
        <x:v>3878.3246923848956</x:v>
      </x:c>
      <x:c r="D191" s="492" t="n">
        <x:f>Balance_Sheet!I23</x:f>
        <x:v>6491.978289426891</x:v>
      </x:c>
    </x:row>
    <x:row r="195" ht="25" customHeight="1">
      <x:c r="A195" s="489" t="str">
        <x:v>17   CONTINUING EPS AND DIVIDEND</x:v>
      </x:c>
      <x:c r="B195" s="489"/>
      <x:c r="C195" s="489"/>
    </x:row>
    <x:row r="196" ht="22" customHeight="1">
      <x:c r="A196" s="490" t="str">
        <x:v>PERIOD / BUCKET</x:v>
      </x:c>
      <x:c r="B196" s="490" t="str">
        <x:v>EPS, continuing operations</x:v>
      </x:c>
      <x:c r="C196" s="490" t="str">
        <x:v>Dividend/share</x:v>
      </x:c>
    </x:row>
    <x:row r="197" ht="21" customHeight="1">
      <x:c r="A197" s="496" t="str">
        <x:v>FY25A</x:v>
      </x:c>
      <x:c r="B197" s="502" t="n">
        <x:f>Income_Statement!C28</x:f>
        <x:v>16.07</x:v>
      </x:c>
      <x:c r="C197" s="502" t="n">
        <x:f>Income_Statement!C29</x:f>
        <x:v>14.35</x:v>
      </x:c>
      <x:c r="I197" s="495" t="str">
        <x:v>FY27+ payouts follow case-driven assumptions, not company guidance.</x:v>
      </x:c>
    </x:row>
    <x:row r="198" ht="21" customHeight="1">
      <x:c r="A198" s="496" t="str">
        <x:v>FY26A</x:v>
      </x:c>
      <x:c r="B198" s="502" t="n">
        <x:f>Income_Statement!D28</x:f>
        <x:v>16.2</x:v>
      </x:c>
      <x:c r="C198" s="502" t="n">
        <x:f>Income_Statement!D29</x:f>
        <x:v>14.5</x:v>
      </x:c>
      <x:c r="I198" s="495"/>
    </x:row>
    <x:row r="199" ht="21" customHeight="1">
      <x:c r="A199" s="496" t="str">
        <x:v>FY27E</x:v>
      </x:c>
      <x:c r="B199" s="502" t="n">
        <x:f>Income_Statement!E28</x:f>
        <x:v>12.241253250438598</x:v>
      </x:c>
      <x:c r="C199" s="502" t="n">
        <x:f>Income_Statement!E29</x:f>
        <x:v>10.405065262872808</x:v>
      </x:c>
      <x:c r="I199" s="495"/>
    </x:row>
    <x:row r="200">
      <x:c r="A200" s="496" t="str">
        <x:v>FY28E</x:v>
      </x:c>
      <x:c r="B200" s="502" t="n">
        <x:f>Income_Statement!F28</x:f>
        <x:v>13.199990999212051</x:v>
      </x:c>
      <x:c r="C200" s="502" t="n">
        <x:f>Income_Statement!F29</x:f>
        <x:v>10.955992529346002</x:v>
      </x:c>
    </x:row>
    <x:row r="201">
      <x:c r="A201" s="496" t="str">
        <x:v>FY29E</x:v>
      </x:c>
      <x:c r="B201" s="502" t="n">
        <x:f>Income_Statement!G28</x:f>
        <x:v>14.194383177227685</x:v>
      </x:c>
      <x:c r="C201" s="502" t="n">
        <x:f>Income_Statement!G29</x:f>
        <x:v>11.6393942053267</x:v>
      </x:c>
    </x:row>
    <x:row r="202">
      <x:c r="A202" s="496" t="str">
        <x:v>FY30E</x:v>
      </x:c>
      <x:c r="B202" s="502" t="n">
        <x:f>Income_Statement!H28</x:f>
        <x:v>15.368790598942729</x:v>
      </x:c>
      <x:c r="C202" s="502" t="n">
        <x:f>Income_Statement!H29</x:f>
        <x:v>12.602408291133038</x:v>
      </x:c>
    </x:row>
    <x:row r="203">
      <x:c r="A203" s="496" t="str">
        <x:v>FY31E</x:v>
      </x:c>
      <x:c r="B203" s="502" t="n">
        <x:f>Income_Statement!I28</x:f>
        <x:v>16.501385450454244</x:v>
      </x:c>
      <x:c r="C203" s="502" t="n">
        <x:f>Income_Statement!I29</x:f>
        <x:v>13.531136069372481</x:v>
      </x:c>
    </x:row>
    <x:row r="207" ht="25" customHeight="1">
      <x:c r="A207" s="489" t="str">
        <x:v>18   NET MARGIN VERSUS PAYOUT RATIO</x:v>
      </x:c>
      <x:c r="B207" s="489"/>
      <x:c r="C207" s="489"/>
    </x:row>
    <x:row r="208" ht="22" customHeight="1">
      <x:c r="A208" s="490" t="str">
        <x:v>PERIOD / BUCKET</x:v>
      </x:c>
      <x:c r="B208" s="490" t="str">
        <x:v>Standalone continuing PAT margin</x:v>
      </x:c>
      <x:c r="C208" s="490" t="str">
        <x:v>Dividend/earnings payout</x:v>
      </x:c>
    </x:row>
    <x:row r="209" ht="21" customHeight="1">
      <x:c r="A209" s="496" t="str">
        <x:v>FY25A</x:v>
      </x:c>
      <x:c r="B209" s="498" t="n">
        <x:f>Income_Statement!C33</x:f>
        <x:v>0.2898273197898779</x:v>
      </x:c>
      <x:c r="C209" s="498" t="n">
        <x:f>Income_Statement!C34</x:f>
        <x:v>0.8929682638456752</x:v>
      </x:c>
      <x:c r="I209" s="495" t="str">
        <x:v>Income_Statement margin uses net revenue after excise.</x:v>
      </x:c>
    </x:row>
    <x:row r="210" ht="21" customHeight="1">
      <x:c r="A210" s="496" t="str">
        <x:v>FY26A</x:v>
      </x:c>
      <x:c r="B210" s="498" t="n">
        <x:f>Income_Statement!D33</x:f>
        <x:v>0.2818193209636949</x:v>
      </x:c>
      <x:c r="C210" s="498" t="n">
        <x:f>Income_Statement!D34</x:f>
        <x:v>0.8950617283950618</x:v>
      </x:c>
      <x:c r="I210" s="495"/>
    </x:row>
    <x:row r="211" ht="21" customHeight="1">
      <x:c r="A211" s="496" t="str">
        <x:v>FY27E</x:v>
      </x:c>
      <x:c r="B211" s="498" t="n">
        <x:f>Income_Statement!E33</x:f>
        <x:v>0.23747392768940817</x:v>
      </x:c>
      <x:c r="C211" s="498" t="n">
        <x:f>Income_Statement!E34</x:f>
        <x:v>0.85</x:v>
      </x:c>
      <x:c r="I211" s="495"/>
    </x:row>
    <x:row r="212">
      <x:c r="A212" s="496" t="str">
        <x:v>FY28E</x:v>
      </x:c>
      <x:c r="B212" s="498" t="n">
        <x:f>Income_Statement!F33</x:f>
        <x:v>0.2378656929689701</x:v>
      </x:c>
      <x:c r="C212" s="498" t="n">
        <x:f>Income_Statement!F34</x:f>
        <x:v>0.83</x:v>
      </x:c>
    </x:row>
    <x:row r="213">
      <x:c r="A213" s="496" t="str">
        <x:v>FY29E</x:v>
      </x:c>
      <x:c r="B213" s="498" t="n">
        <x:f>Income_Statement!G33</x:f>
        <x:v>0.23940510626092504</x:v>
      </x:c>
      <x:c r="C213" s="498" t="n">
        <x:f>Income_Statement!G34</x:f>
        <x:v>0.82</x:v>
      </x:c>
    </x:row>
    <x:row r="214">
      <x:c r="A214" s="496" t="str">
        <x:v>FY30E</x:v>
      </x:c>
      <x:c r="B214" s="498" t="n">
        <x:f>Income_Statement!H33</x:f>
        <x:v>0.2433961566755855</x:v>
      </x:c>
      <x:c r="C214" s="498" t="n">
        <x:f>Income_Statement!H34</x:f>
        <x:v>0.8200000000000001</x:v>
      </x:c>
    </x:row>
    <x:row r="215">
      <x:c r="A215" s="496" t="str">
        <x:v>FY31E</x:v>
      </x:c>
      <x:c r="B215" s="498" t="n">
        <x:f>Income_Statement!I33</x:f>
        <x:v>0.24621511837877835</x:v>
      </x:c>
      <x:c r="C215" s="498" t="n">
        <x:f>Income_Statement!I34</x:f>
        <x:v>0.8200000000000001</x:v>
      </x:c>
    </x:row>
    <x:row r="219" ht="25" customHeight="1">
      <x:c r="A219" s="489" t="str">
        <x:v>19   VALUATION METHODS VS REFERENCE PRICE</x:v>
      </x:c>
      <x:c r="B219" s="489"/>
      <x:c r="C219" s="489"/>
    </x:row>
    <x:row r="220" ht="22" customHeight="1">
      <x:c r="A220" s="490" t="str">
        <x:v>PERIOD / BUCKET</x:v>
      </x:c>
      <x:c r="B220" s="490" t="str">
        <x:v>Implied ₹/share</x:v>
      </x:c>
      <x:c r="C220" s="490" t="str">
        <x:v>Market quote 25 Sep</x:v>
      </x:c>
    </x:row>
    <x:row r="221" ht="21" customHeight="1">
      <x:c r="A221" s="496" t="str">
        <x:v>DCF</x:v>
      </x:c>
      <x:c r="B221" s="502" t="n">
        <x:f>Valuation_Summary!C14</x:f>
        <x:v>182.9795197694324</x:v>
      </x:c>
      <x:c r="C221" s="502" t="n">
        <x:f>Valuation_Summary!C7</x:f>
        <x:v>268.9</x:v>
      </x:c>
      <x:c r="I221" s="495" t="str">
        <x:v>Informational estimates, not investment rating or price target.</x:v>
      </x:c>
    </x:row>
    <x:row r="222" ht="21" customHeight="1">
      <x:c r="A222" s="496" t="str">
        <x:v>SOTP</x:v>
      </x:c>
      <x:c r="B222" s="502" t="n">
        <x:f>Valuation_Summary!C15</x:f>
        <x:v>311.7614816267943</x:v>
      </x:c>
      <x:c r="C222" s="502" t="n">
        <x:f>Valuation_Summary!C7</x:f>
        <x:v>268.9</x:v>
      </x:c>
      <x:c r="I222" s="495"/>
    </x:row>
    <x:row r="223" ht="21" customHeight="1">
      <x:c r="A223" s="496" t="str">
        <x:v>Relative PE</x:v>
      </x:c>
      <x:c r="B223" s="502" t="n">
        <x:f>Valuation_Summary!C16</x:f>
        <x:v>274.5576654184031</x:v>
      </x:c>
      <x:c r="C223" s="502" t="n">
        <x:f>Valuation_Summary!C7</x:f>
        <x:v>268.9</x:v>
      </x:c>
      <x:c r="I223" s="495"/>
    </x:row>
    <x:row r="224">
      <x:c r="A224" s="496" t="str">
        <x:v>Blended</x:v>
      </x:c>
      <x:c r="B224" s="502" t="n">
        <x:f>Valuation_Summary!E18</x:f>
        <x:v>254.66812445259086</x:v>
      </x:c>
      <x:c r="C224" s="502" t="n">
        <x:f>Valuation_Summary!C7</x:f>
        <x:v>268.9</x:v>
      </x:c>
    </x:row>
    <x:row r="228" ht="25" customHeight="1">
      <x:c r="A228" s="489" t="str">
        <x:v>20   SOTP OWNERSHIP AND BUSINESS PARTS</x:v>
      </x:c>
      <x:c r="B228" s="489"/>
    </x:row>
    <x:row r="229" ht="22" customHeight="1">
      <x:c r="A229" s="490" t="str">
        <x:v>PERIOD / BUCKET</x:v>
      </x:c>
      <x:c r="B229" s="490" t="str">
        <x:v>Equity value</x:v>
      </x:c>
    </x:row>
    <x:row r="230" ht="21" customHeight="1">
      <x:c r="A230" s="496" t="str">
        <x:v>Cigarettes</x:v>
      </x:c>
      <x:c r="B230" s="492" t="n">
        <x:f>SOTP!E7</x:f>
        <x:v>253250.75160000002</x:v>
      </x:c>
      <x:c r="I230" s="495" t="str">
        <x:v>Excludes liquid financial bridge; view SOTP!E26 separately.</x:v>
      </x:c>
    </x:row>
    <x:row r="231" ht="21" customHeight="1">
      <x:c r="A231" s="496" t="str">
        <x:v>FMCG Others</x:v>
      </x:c>
      <x:c r="B231" s="492" t="n">
        <x:f>SOTP!E8</x:f>
        <x:v>68525.69737500002</x:v>
      </x:c>
      <x:c r="I231" s="495"/>
    </x:row>
    <x:row r="232" ht="21" customHeight="1">
      <x:c r="A232" s="496" t="str">
        <x:v>Agri</x:v>
      </x:c>
      <x:c r="B232" s="492" t="n">
        <x:f>SOTP!E9</x:f>
        <x:v>17560.44528</x:v>
      </x:c>
      <x:c r="I232" s="495"/>
    </x:row>
    <x:row r="233">
      <x:c r="A233" s="496" t="str">
        <x:v>Paper incl Century</x:v>
      </x:c>
      <x:c r="B233" s="492" t="n">
        <x:f>SOTP!E10</x:f>
        <x:v>9396.82998</x:v>
      </x:c>
    </x:row>
    <x:row r="234">
      <x:c r="A234" s="496" t="str">
        <x:v>Others</x:v>
      </x:c>
      <x:c r="B234" s="492" t="n">
        <x:f>SOTP!E11</x:f>
        <x:v>0</x:v>
      </x:c>
    </x:row>
    <x:row r="235">
      <x:c r="A235" s="496" t="str">
        <x:v>Group-only subsidiaries</x:v>
      </x:c>
      <x:c r="B235" s="492" t="n">
        <x:f>SOTP!E15</x:f>
        <x:v>16429.6</x:v>
      </x:c>
    </x:row>
    <x:row r="236">
      <x:c r="A236" s="496" t="str">
        <x:v>Hotels stake</x:v>
      </x:c>
      <x:c r="B236" s="492" t="n">
        <x:f>SOTP!E16</x:f>
        <x:v>12766.684725</x:v>
      </x:c>
    </x:row>
    <x:row r="240" ht="25" customHeight="1">
      <x:c r="A240" s="489" t="str">
        <x:v>21   DCF ADJUSTED VS PRESENT-VALUE FCFF</x:v>
      </x:c>
      <x:c r="B240" s="489"/>
      <x:c r="C240" s="489"/>
    </x:row>
    <x:row r="241" ht="22" customHeight="1">
      <x:c r="A241" s="490" t="str">
        <x:v>PERIOD / BUCKET</x:v>
      </x:c>
      <x:c r="B241" s="490" t="str">
        <x:v>Eligible projected cash flow</x:v>
      </x:c>
      <x:c r="C241" s="490" t="str">
        <x:v>Present value of cash flow</x:v>
      </x:c>
    </x:row>
    <x:row r="242" ht="21" customHeight="1">
      <x:c r="A242" s="496" t="str">
        <x:v>FY27E</x:v>
      </x:c>
      <x:c r="B242" s="492" t="n">
        <x:f>DCF!E16</x:f>
        <x:v>6799.124525622505</x:v>
      </x:c>
      <x:c r="C242" s="492" t="n">
        <x:f>DCF!E19</x:f>
        <x:v>6422.234250390894</x:v>
      </x:c>
      <x:c r="I242" s="495" t="str">
        <x:v>FY27E contains a half-year cash-flow stub.</x:v>
      </x:c>
    </x:row>
    <x:row r="243" ht="21" customHeight="1">
      <x:c r="A243" s="496" t="str">
        <x:v>FY28E</x:v>
      </x:c>
      <x:c r="B243" s="492" t="n">
        <x:f>DCF!F16</x:f>
        <x:v>13664.05240641099</x:v>
      </x:c>
      <x:c r="C243" s="492" t="n">
        <x:f>DCF!F19</x:f>
        <x:v>11515.39819398516</x:v>
      </x:c>
      <x:c r="I243" s="495"/>
    </x:row>
    <x:row r="244" ht="21" customHeight="1">
      <x:c r="A244" s="496" t="str">
        <x:v>FY29E</x:v>
      </x:c>
      <x:c r="B244" s="492" t="n">
        <x:f>DCF!G16</x:f>
        <x:v>15055.66148065969</x:v>
      </x:c>
      <x:c r="C244" s="492" t="n">
        <x:f>DCF!G19</x:f>
        <x:v>11320.49915151489</x:v>
      </x:c>
      <x:c r="I244" s="495"/>
    </x:row>
    <x:row r="245">
      <x:c r="A245" s="496" t="str">
        <x:v>FY30E</x:v>
      </x:c>
      <x:c r="B245" s="492" t="n">
        <x:f>DCF!H16</x:f>
        <x:v>16294.970751329378</x:v>
      </x:c>
      <x:c r="C245" s="492" t="n">
        <x:f>DCF!H19</x:f>
        <x:v>10931.647386524353</x:v>
      </x:c>
    </x:row>
    <x:row r="246">
      <x:c r="A246" s="496" t="str">
        <x:v>FY31E</x:v>
      </x:c>
      <x:c r="B246" s="492" t="n">
        <x:f>DCF!I16</x:f>
        <x:v>17714.375148990315</x:v>
      </x:c>
      <x:c r="C246" s="492" t="n">
        <x:f>DCF!I19</x:f>
        <x:v>10602.887688528062</x:v>
      </x:c>
    </x:row>
    <x:row r="250" ht="25" customHeight="1">
      <x:c r="A250" s="489" t="str">
        <x:v>22   DCF EQUITY-VALUE BUILDING BLOCKS</x:v>
      </x:c>
      <x:c r="B250" s="489"/>
    </x:row>
    <x:row r="251" ht="22" customHeight="1">
      <x:c r="A251" s="490" t="str">
        <x:v>PERIOD / BUCKET</x:v>
      </x:c>
      <x:c r="B251" s="490" t="str">
        <x:v>Value</x:v>
      </x:c>
    </x:row>
    <x:row r="252" ht="21" customHeight="1">
      <x:c r="A252" s="496" t="str">
        <x:v>Operating franchise EV</x:v>
      </x:c>
      <x:c r="B252" s="492" t="n">
        <x:f>DCF!C28</x:f>
        <x:v>187241.14406586823</x:v>
      </x:c>
      <x:c r="I252" s="495" t="str">
        <x:v>All bars combine in DCF!C33; acquisition adjustment in financial bridge.</x:v>
      </x:c>
    </x:row>
    <x:row r="253" ht="21" customHeight="1">
      <x:c r="A253" s="496" t="str">
        <x:v>Group-only subsidiaries</x:v>
      </x:c>
      <x:c r="B253" s="492" t="n">
        <x:f>DCF!C30</x:f>
        <x:v>16429.6</x:v>
      </x:c>
      <x:c r="I253" s="495"/>
    </x:row>
    <x:row r="254" ht="21" customHeight="1">
      <x:c r="A254" s="496" t="str">
        <x:v>Hotels associate value</x:v>
      </x:c>
      <x:c r="B254" s="492" t="n">
        <x:f>DCF!C31</x:f>
        <x:v>12766.684725</x:v>
      </x:c>
      <x:c r="I254" s="495"/>
    </x:row>
    <x:row r="255">
      <x:c r="A255" s="496" t="str">
        <x:v>Net financial assets</x:v>
      </x:c>
      <x:c r="B255" s="492" t="n">
        <x:f>DCF!C32</x:f>
        <x:v>13018.889000000003</x:v>
      </x:c>
    </x:row>
    <x:row r="259" ht="25" customHeight="1">
      <x:c r="A259" s="489" t="str">
        <x:v>23   PEER MULTIPLE CROSS-CHECK</x:v>
      </x:c>
      <x:c r="B259" s="489"/>
    </x:row>
    <x:row r="260" ht="22" customHeight="1">
      <x:c r="A260" s="490" t="str">
        <x:v>PERIOD / BUCKET</x:v>
      </x:c>
      <x:c r="B260" s="490" t="str">
        <x:v>TTM or illustrative P/E</x:v>
      </x:c>
    </x:row>
    <x:row r="261" ht="21" customHeight="1">
      <x:c r="A261" s="496" t="str">
        <x:v>Cigarette names</x:v>
      </x:c>
      <x:c r="B261" s="504" t="n">
        <x:f>Peer_Snapshot!E17</x:f>
        <x:v>17.465</x:v>
      </x:c>
      <x:c r="I261" s="495" t="str">
        <x:v>Agri / Other are analyst multiples; other buckets are TTM observed comps.</x:v>
      </x:c>
    </x:row>
    <x:row r="262" ht="21" customHeight="1">
      <x:c r="A262" s="496" t="str">
        <x:v>FMCG names</x:v>
      </x:c>
      <x:c r="B262" s="504" t="n">
        <x:f>Peer_Snapshot!E18</x:f>
        <x:v>43.73666666666667</x:v>
      </x:c>
      <x:c r="I262" s="495"/>
    </x:row>
    <x:row r="263" ht="21" customHeight="1">
      <x:c r="A263" s="496" t="str">
        <x:v>Paper names</x:v>
      </x:c>
      <x:c r="B263" s="504" t="n">
        <x:f>Peer_Snapshot!E19</x:f>
        <x:v>23.35</x:v>
      </x:c>
      <x:c r="I263" s="495"/>
    </x:row>
    <x:row r="264">
      <x:c r="A264" s="496" t="str">
        <x:v>IT services names</x:v>
      </x:c>
      <x:c r="B264" s="504" t="n">
        <x:f>Peer_Snapshot!E20</x:f>
        <x:v>28.765</x:v>
      </x:c>
    </x:row>
    <x:row r="265">
      <x:c r="A265" s="496" t="str">
        <x:v>Agri applied</x:v>
      </x:c>
      <x:c r="B265" s="504" t="n">
        <x:f>Peer_Snapshot!E21</x:f>
        <x:v>13</x:v>
      </x:c>
    </x:row>
    <x:row r="266">
      <x:c r="A266" s="496" t="str">
        <x:v>Other applied</x:v>
      </x:c>
      <x:c r="B266" s="504" t="n">
        <x:f>Peer_Snapshot!E22</x:f>
        <x:v>10</x:v>
      </x:c>
    </x:row>
    <x:row r="270" ht="25" customHeight="1">
      <x:c r="A270" s="489" t="str">
        <x:v>24   DCF RESPONSE TO WACC / G</x:v>
      </x:c>
      <x:c r="B270" s="489"/>
      <x:c r="C270" s="489"/>
      <x:c r="D270" s="489"/>
    </x:row>
    <x:row r="271" ht="22" customHeight="1">
      <x:c r="A271" s="490" t="str">
        <x:v>PERIOD / BUCKET</x:v>
      </x:c>
      <x:c r="B271" s="490" t="str">
        <x:v>g minus 1.5pp</x:v>
      </x:c>
      <x:c r="C271" s="490" t="str">
        <x:v>Base g</x:v>
      </x:c>
      <x:c r="D271" s="490" t="str">
        <x:v>g plus 1.5pp</x:v>
      </x:c>
    </x:row>
    <x:row r="272" ht="21" customHeight="1">
      <x:c r="A272" s="496" t="str">
        <x:v>Low WACC</x:v>
      </x:c>
      <x:c r="B272" s="502" t="n">
        <x:f>Sensitivities!E9</x:f>
        <x:v>189.59420193490877</x:v>
      </x:c>
      <x:c r="C272" s="502" t="n">
        <x:f>Sensitivities!E12</x:f>
        <x:v>217.61121959628014</x:v>
      </x:c>
      <x:c r="D272" s="502" t="n">
        <x:f>Sensitivities!E15</x:f>
        <x:v>262.1690281443535</x:v>
      </x:c>
      <x:c r="I272" s="495" t="str">
        <x:v>WACC categories are relative to active forecast WACC; base is center.</x:v>
      </x:c>
    </x:row>
    <x:row r="273" ht="21" customHeight="1">
      <x:c r="A273" s="496" t="str">
        <x:v>-1.0%</x:v>
      </x:c>
      <x:c r="B273" s="502" t="n">
        <x:f>Sensitivities!F9</x:f>
        <x:v>180.29551052035626</x:v>
      </x:c>
      <x:c r="C273" s="502" t="n">
        <x:f>Sensitivities!F12</x:f>
        <x:v>204.43301852725628</x:v>
      </x:c>
      <x:c r="D273" s="502" t="n">
        <x:f>Sensitivities!F15</x:f>
        <x:v>241.54433097295623</x:v>
      </x:c>
      <x:c r="I273" s="495"/>
    </x:row>
    <x:row r="274" ht="21" customHeight="1">
      <x:c r="A274" s="496" t="str">
        <x:v>-0.5%</x:v>
      </x:c>
      <x:c r="B274" s="502" t="n">
        <x:f>Sensitivities!G9</x:f>
        <x:v>172.02486500307765</x:v>
      </x:c>
      <x:c r="C274" s="502" t="n">
        <x:f>Sensitivities!G12</x:f>
        <x:v>192.9969280637223</x:v>
      </x:c>
      <x:c r="D274" s="502" t="n">
        <x:f>Sensitivities!G15</x:f>
        <x:v>224.31459657905017</x:v>
      </x:c>
      <x:c r="I274" s="495"/>
    </x:row>
    <x:row r="275">
      <x:c r="A275" s="496" t="str">
        <x:v>Base</x:v>
      </x:c>
      <x:c r="B275" s="502" t="n">
        <x:f>Sensitivities!H9</x:f>
        <x:v>164.62124129529192</x:v>
      </x:c>
      <x:c r="C275" s="502" t="n">
        <x:f>Sensitivities!H12</x:f>
        <x:v>182.9795197694324</x:v>
      </x:c>
      <x:c r="D275" s="502" t="n">
        <x:f>Sensitivities!H15</x:f>
        <x:v>209.70600141099786</x:v>
      </x:c>
    </x:row>
    <x:row r="276">
      <x:c r="A276" s="496" t="str">
        <x:v>+0.5%</x:v>
      </x:c>
      <x:c r="B276" s="502" t="n">
        <x:f>Sensitivities!I9</x:f>
        <x:v>157.9555619372445</x:v>
      </x:c>
      <x:c r="C276" s="502" t="n">
        <x:f>Sensitivities!I12</x:f>
        <x:v>174.13274557607556</x:v>
      </x:c>
      <x:c r="D276" s="502" t="n">
        <x:f>Sensitivities!I15</x:f>
        <x:v>197.16327317646653</x:v>
      </x:c>
    </x:row>
    <x:row r="277">
      <x:c r="A277" s="496" t="str">
        <x:v>+1.0%</x:v>
      </x:c>
      <x:c r="B277" s="502" t="n">
        <x:f>Sensitivities!J9</x:f>
        <x:v>151.92314824269897</x:v>
      </x:c>
      <x:c r="C277" s="502" t="n">
        <x:f>Sensitivities!J12</x:f>
        <x:v>166.26318651871574</x:v>
      </x:c>
      <x:c r="D277" s="502" t="n">
        <x:f>Sensitivities!J15</x:f>
        <x:v>186.27762295044587</x:v>
      </x:c>
    </x:row>
    <x:row r="278">
      <x:c r="A278" s="496" t="str">
        <x:v>High WACC</x:v>
      </x:c>
      <x:c r="B278" s="502" t="n">
        <x:f>Sensitivities!K9</x:f>
        <x:v>146.43821582352498</x:v>
      </x:c>
      <x:c r="C278" s="502" t="n">
        <x:f>Sensitivities!K12</x:f>
        <x:v>159.21779880393765</x:v>
      </x:c>
      <x:c r="D278" s="502" t="n">
        <x:f>Sensitivities!K15</x:f>
        <x:v>176.7414303941512</x:v>
      </x:c>
    </x:row>
  </x:sheetData>
  <x:mergeCells>
    <x:mergeCell ref="A2:I2"/>
    <x:mergeCell ref="A3:I3"/>
    <x:mergeCell ref="A7:C7"/>
    <x:mergeCell ref="I9:I11"/>
    <x:mergeCell ref="A19:C19"/>
    <x:mergeCell ref="I21:I23"/>
    <x:mergeCell ref="A31:C31"/>
    <x:mergeCell ref="I33:I35"/>
    <x:mergeCell ref="A41:C41"/>
    <x:mergeCell ref="I43:I45"/>
    <x:mergeCell ref="A51:D51"/>
    <x:mergeCell ref="I53:I55"/>
    <x:mergeCell ref="A63:B63"/>
    <x:mergeCell ref="I65:I67"/>
    <x:mergeCell ref="A75:C75"/>
    <x:mergeCell ref="I77:I79"/>
    <x:mergeCell ref="A87:C87"/>
    <x:mergeCell ref="I89:I91"/>
    <x:mergeCell ref="A99:C99"/>
    <x:mergeCell ref="I101:I103"/>
    <x:mergeCell ref="A111:C111"/>
    <x:mergeCell ref="I113:I115"/>
    <x:mergeCell ref="A123:C123"/>
    <x:mergeCell ref="I125:I127"/>
    <x:mergeCell ref="A135:C135"/>
    <x:mergeCell ref="I137:I139"/>
    <x:mergeCell ref="A147:C147"/>
    <x:mergeCell ref="I149:I151"/>
    <x:mergeCell ref="A159:C159"/>
    <x:mergeCell ref="I161:I163"/>
    <x:mergeCell ref="A171:C171"/>
    <x:mergeCell ref="I173:I175"/>
    <x:mergeCell ref="A183:D183"/>
    <x:mergeCell ref="I185:I187"/>
    <x:mergeCell ref="A195:C195"/>
    <x:mergeCell ref="I197:I199"/>
    <x:mergeCell ref="A207:C207"/>
    <x:mergeCell ref="I209:I211"/>
    <x:mergeCell ref="A219:C219"/>
    <x:mergeCell ref="I221:I223"/>
    <x:mergeCell ref="A228:B228"/>
    <x:mergeCell ref="I230:I232"/>
    <x:mergeCell ref="A240:C240"/>
    <x:mergeCell ref="I242:I244"/>
    <x:mergeCell ref="A250:B250"/>
    <x:mergeCell ref="I252:I254"/>
    <x:mergeCell ref="A259:B259"/>
    <x:mergeCell ref="I261:I263"/>
    <x:mergeCell ref="A270:D270"/>
    <x:mergeCell ref="I272:I274"/>
  </x:mergeCells>
  <x:pageMargins left="0.7" right="0.7" top="0.75" bottom="0.75" header="0.3" footer="0.3"/>
</x:worksheet>
</file>